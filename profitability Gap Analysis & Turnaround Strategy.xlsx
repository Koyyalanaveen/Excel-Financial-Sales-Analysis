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navee\Desktop\"/>
    </mc:Choice>
  </mc:AlternateContent>
  <xr:revisionPtr revIDLastSave="0" documentId="13_ncr:1_{A6DC808F-A47F-454D-BD34-6794B8C34B05}" xr6:coauthVersionLast="47" xr6:coauthVersionMax="47" xr10:uidLastSave="{00000000-0000-0000-0000-000000000000}"/>
  <bookViews>
    <workbookView xWindow="-108" yWindow="-108" windowWidth="23256" windowHeight="13176" activeTab="4" xr2:uid="{0AD93584-AB8B-49FF-B45B-4B131F6C23BE}"/>
  </bookViews>
  <sheets>
    <sheet name="sales_data" sheetId="1" r:id="rId1"/>
    <sheet name="Monthly Sales &amp; Profit" sheetId="4" r:id="rId2"/>
    <sheet name="Product-wise Performance" sheetId="6" r:id="rId3"/>
    <sheet name="Region-wise Analysis" sheetId="10" r:id="rId4"/>
    <sheet name="Sheet2" sheetId="12" r:id="rId5"/>
  </sheets>
  <definedNames>
    <definedName name="Slicer_PROFIT_LOSS">#N/A</definedName>
  </definedNames>
  <calcPr calcId="191029"/>
  <pivotCaches>
    <pivotCache cacheId="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Q105" i="1"/>
  <c r="Q306" i="1"/>
  <c r="R306" i="1" s="1"/>
  <c r="Q703" i="1"/>
  <c r="Q640" i="1"/>
  <c r="Q233" i="1"/>
  <c r="Q136" i="1"/>
  <c r="Q282" i="1"/>
  <c r="R282" i="1" s="1"/>
  <c r="Q19" i="1"/>
  <c r="Q497" i="1"/>
  <c r="Q744" i="1"/>
  <c r="Q871" i="1"/>
  <c r="Q611" i="1"/>
  <c r="R611" i="1" s="1"/>
  <c r="Q850" i="1"/>
  <c r="R850" i="1" s="1"/>
  <c r="Q994" i="1"/>
  <c r="R994" i="1" s="1"/>
  <c r="Q627" i="1"/>
  <c r="R627" i="1" s="1"/>
  <c r="Q767" i="1"/>
  <c r="Q406" i="1"/>
  <c r="Q736" i="1"/>
  <c r="Q534" i="1"/>
  <c r="Q201" i="1"/>
  <c r="Q311" i="1"/>
  <c r="Q10" i="1"/>
  <c r="Q949" i="1"/>
  <c r="Q907" i="1"/>
  <c r="R907" i="1" s="1"/>
  <c r="Q857" i="1"/>
  <c r="Q950" i="1"/>
  <c r="Q266" i="1"/>
  <c r="R266" i="1" s="1"/>
  <c r="Q410" i="1"/>
  <c r="R410" i="1" s="1"/>
  <c r="Q837" i="1"/>
  <c r="Q371" i="1"/>
  <c r="R371" i="1" s="1"/>
  <c r="Q668" i="1"/>
  <c r="Q658" i="1"/>
  <c r="Q100" i="1"/>
  <c r="Q127" i="1"/>
  <c r="Q628" i="1"/>
  <c r="R628" i="1" s="1"/>
  <c r="Q110" i="1"/>
  <c r="Q598" i="1"/>
  <c r="Q20" i="1"/>
  <c r="Q879" i="1"/>
  <c r="Q591" i="1"/>
  <c r="R591" i="1" s="1"/>
  <c r="Q210" i="1"/>
  <c r="Q11" i="1"/>
  <c r="Q914" i="1"/>
  <c r="R914" i="1" s="1"/>
  <c r="Q365" i="1"/>
  <c r="Q328" i="1"/>
  <c r="R328" i="1" s="1"/>
  <c r="Q264" i="1"/>
  <c r="Q183" i="1"/>
  <c r="Q525" i="1"/>
  <c r="Q915" i="1"/>
  <c r="R915" i="1" s="1"/>
  <c r="Q551" i="1"/>
  <c r="Q87" i="1"/>
  <c r="Q472" i="1"/>
  <c r="R472" i="1" s="1"/>
  <c r="Q802" i="1"/>
  <c r="R802" i="1" s="1"/>
  <c r="Q362" i="1"/>
  <c r="Q889" i="1"/>
  <c r="Q329" i="1"/>
  <c r="Q884" i="1"/>
  <c r="R884" i="1" s="1"/>
  <c r="Q734" i="1"/>
  <c r="Q569" i="1"/>
  <c r="Q608" i="1"/>
  <c r="Q68" i="1"/>
  <c r="Q313" i="1"/>
  <c r="Q378" i="1"/>
  <c r="Q148" i="1"/>
  <c r="Q2" i="1"/>
  <c r="R2" i="1" s="1"/>
  <c r="Q253" i="1"/>
  <c r="Q383" i="1"/>
  <c r="Q872" i="1"/>
  <c r="Q116" i="1"/>
  <c r="Q780" i="1"/>
  <c r="R780" i="1" s="1"/>
  <c r="Q377" i="1"/>
  <c r="Q964" i="1"/>
  <c r="R964" i="1" s="1"/>
  <c r="Q911" i="1"/>
  <c r="Q690" i="1"/>
  <c r="R690" i="1" s="1"/>
  <c r="Q443" i="1"/>
  <c r="Q489" i="1"/>
  <c r="Q33" i="1"/>
  <c r="Q693" i="1"/>
  <c r="Q376" i="1"/>
  <c r="Q470" i="1"/>
  <c r="Q47" i="1"/>
  <c r="Q461" i="1"/>
  <c r="Q352" i="1"/>
  <c r="Q234" i="1"/>
  <c r="Q877" i="1"/>
  <c r="Q865" i="1"/>
  <c r="Q283" i="1"/>
  <c r="Q900" i="1"/>
  <c r="R900" i="1" s="1"/>
  <c r="Q728" i="1"/>
  <c r="Q708" i="1"/>
  <c r="R708" i="1" s="1"/>
  <c r="Q117" i="1"/>
  <c r="Q265" i="1"/>
  <c r="Q267" i="1"/>
  <c r="R267" i="1" s="1"/>
  <c r="Q819" i="1"/>
  <c r="R819" i="1" s="1"/>
  <c r="Q198" i="1"/>
  <c r="Q858" i="1"/>
  <c r="R858" i="1" s="1"/>
  <c r="Q641" i="1"/>
  <c r="Q913" i="1"/>
  <c r="Q372" i="1"/>
  <c r="Q214" i="1"/>
  <c r="Q108" i="1"/>
  <c r="Q3" i="1"/>
  <c r="Q794" i="1"/>
  <c r="R794" i="1" s="1"/>
  <c r="Q873" i="1"/>
  <c r="Q177" i="1"/>
  <c r="Q874" i="1"/>
  <c r="R874" i="1" s="1"/>
  <c r="Q943" i="1"/>
  <c r="Q893" i="1"/>
  <c r="Q712" i="1"/>
  <c r="Q981" i="1"/>
  <c r="R981" i="1" s="1"/>
  <c r="Q629" i="1"/>
  <c r="R629" i="1" s="1"/>
  <c r="Q722" i="1"/>
  <c r="R722" i="1" s="1"/>
  <c r="Q852" i="1"/>
  <c r="R852" i="1" s="1"/>
  <c r="Q756" i="1"/>
  <c r="R756" i="1" s="1"/>
  <c r="Q774" i="1"/>
  <c r="Q570" i="1"/>
  <c r="Q454" i="1"/>
  <c r="Q16" i="1"/>
  <c r="Q924" i="1"/>
  <c r="R924" i="1" s="1"/>
  <c r="Q219" i="1"/>
  <c r="Q184" i="1"/>
  <c r="Q360" i="1"/>
  <c r="R360" i="1" s="1"/>
  <c r="Q249" i="1"/>
  <c r="Q646" i="1"/>
  <c r="Q137" i="1"/>
  <c r="Q250" i="1"/>
  <c r="R250" i="1" s="1"/>
  <c r="Q795" i="1"/>
  <c r="R795" i="1" s="1"/>
  <c r="Q894" i="1"/>
  <c r="Q790" i="1"/>
  <c r="Q290" i="1"/>
  <c r="Q49" i="1"/>
  <c r="Q760" i="1"/>
  <c r="Q493" i="1"/>
  <c r="Q345" i="1"/>
  <c r="Q954" i="1"/>
  <c r="R954" i="1" s="1"/>
  <c r="Q76" i="1"/>
  <c r="Q187" i="1"/>
  <c r="Q385" i="1"/>
  <c r="Q415" i="1"/>
  <c r="Q389" i="1"/>
  <c r="R389" i="1" s="1"/>
  <c r="Q609" i="1"/>
  <c r="R609" i="1" s="1"/>
  <c r="Q828" i="1"/>
  <c r="R828" i="1" s="1"/>
  <c r="Q291" i="1"/>
  <c r="R291" i="1" s="1"/>
  <c r="Q292" i="1"/>
  <c r="R292" i="1" s="1"/>
  <c r="Q121" i="1"/>
  <c r="Q535" i="1"/>
  <c r="Q366" i="1"/>
  <c r="Q195" i="1"/>
  <c r="Q494" i="1"/>
  <c r="Q138" i="1"/>
  <c r="Q53" i="1"/>
  <c r="Q307" i="1"/>
  <c r="R307" i="1" s="1"/>
  <c r="Q428" i="1"/>
  <c r="R428" i="1" s="1"/>
  <c r="Q768" i="1"/>
  <c r="Q632" i="1"/>
  <c r="Q429" i="1"/>
  <c r="Q118" i="1"/>
  <c r="Q273" i="1"/>
  <c r="Q769" i="1"/>
  <c r="Q681" i="1"/>
  <c r="Q531" i="1"/>
  <c r="Q241" i="1"/>
  <c r="Q880" i="1"/>
  <c r="Q34" i="1"/>
  <c r="Q17" i="1"/>
  <c r="Q341" i="1"/>
  <c r="Q902" i="1"/>
  <c r="Q955" i="1"/>
  <c r="R955" i="1" s="1"/>
  <c r="Q330" i="1"/>
  <c r="Q788" i="1"/>
  <c r="R788" i="1" s="1"/>
  <c r="Q437" i="1"/>
  <c r="R437" i="1" s="1"/>
  <c r="Q813" i="1"/>
  <c r="Q624" i="1"/>
  <c r="Q995" i="1"/>
  <c r="R995" i="1" s="1"/>
  <c r="Q581" i="1"/>
  <c r="R581" i="1" s="1"/>
  <c r="Q507" i="1"/>
  <c r="Q54" i="1"/>
  <c r="Q430" i="1"/>
  <c r="Q370" i="1"/>
  <c r="R370" i="1" s="1"/>
  <c r="Q694" i="1"/>
  <c r="Q431" i="1"/>
  <c r="Q149" i="1"/>
  <c r="Q885" i="1"/>
  <c r="Q908" i="1"/>
  <c r="R908" i="1" s="1"/>
  <c r="Q473" i="1"/>
  <c r="R473" i="1" s="1"/>
  <c r="Q353" i="1"/>
  <c r="Q268" i="1"/>
  <c r="R268" i="1" s="1"/>
  <c r="Q319" i="1"/>
  <c r="Q659" i="1"/>
  <c r="Q778" i="1"/>
  <c r="R778" i="1" s="1"/>
  <c r="Q745" i="1"/>
  <c r="Q801" i="1"/>
  <c r="Q748" i="1"/>
  <c r="R748" i="1" s="1"/>
  <c r="Q199" i="1"/>
  <c r="Q398" i="1"/>
  <c r="Q35" i="1"/>
  <c r="Q682" i="1"/>
  <c r="R682" i="1" s="1"/>
  <c r="Q903" i="1"/>
  <c r="Q977" i="1"/>
  <c r="R977" i="1" s="1"/>
  <c r="Q119" i="1"/>
  <c r="Q367" i="1"/>
  <c r="Q542" i="1"/>
  <c r="Q77" i="1"/>
  <c r="Q814" i="1"/>
  <c r="Q938" i="1"/>
  <c r="R938" i="1" s="1"/>
  <c r="Q808" i="1"/>
  <c r="Q986" i="1"/>
  <c r="R986" i="1" s="1"/>
  <c r="Q587" i="1"/>
  <c r="Q380" i="1"/>
  <c r="R380" i="1" s="1"/>
  <c r="Q293" i="1"/>
  <c r="Q563" i="1"/>
  <c r="R563" i="1" s="1"/>
  <c r="Q308" i="1"/>
  <c r="Q294" i="1"/>
  <c r="Q853" i="1"/>
  <c r="Q468" i="1"/>
  <c r="Q965" i="1"/>
  <c r="Q886" i="1"/>
  <c r="Q363" i="1"/>
  <c r="Q781" i="1"/>
  <c r="Q895" i="1"/>
  <c r="Q346" i="1"/>
  <c r="Q298" i="1"/>
  <c r="Q257" i="1"/>
  <c r="Q758" i="1"/>
  <c r="Q156" i="1"/>
  <c r="Q94" i="1"/>
  <c r="Q796" i="1"/>
  <c r="R796" i="1" s="1"/>
  <c r="Q799" i="1"/>
  <c r="Q572" i="1"/>
  <c r="R572" i="1" s="1"/>
  <c r="Q713" i="1"/>
  <c r="Q685" i="1"/>
  <c r="Q809" i="1"/>
  <c r="Q284" i="1"/>
  <c r="Q939" i="1"/>
  <c r="R939" i="1" s="1"/>
  <c r="Q305" i="1"/>
  <c r="Q502" i="1"/>
  <c r="Q843" i="1"/>
  <c r="R843" i="1" s="1"/>
  <c r="Q4" i="1"/>
  <c r="Q866" i="1"/>
  <c r="R866" i="1" s="1"/>
  <c r="Q162" i="1"/>
  <c r="Q403" i="1"/>
  <c r="Q829" i="1"/>
  <c r="Q373" i="1"/>
  <c r="Q547" i="1"/>
  <c r="Q844" i="1"/>
  <c r="R844" i="1" s="1"/>
  <c r="Q323" i="1"/>
  <c r="Q420" i="1"/>
  <c r="Q775" i="1"/>
  <c r="Q188" i="1"/>
  <c r="Q663" i="1"/>
  <c r="Q81" i="1"/>
  <c r="Q254" i="1"/>
  <c r="Q211" i="1"/>
  <c r="Q789" i="1"/>
  <c r="Q564" i="1"/>
  <c r="R564" i="1" s="1"/>
  <c r="Q940" i="1"/>
  <c r="R940" i="1" s="1"/>
  <c r="Q60" i="1"/>
  <c r="Q348" i="1"/>
  <c r="R348" i="1" s="1"/>
  <c r="Q990" i="1"/>
  <c r="R990" i="1" s="1"/>
  <c r="Q676" i="1"/>
  <c r="Q495" i="1"/>
  <c r="Q503" i="1"/>
  <c r="Q411" i="1"/>
  <c r="Q82" i="1"/>
  <c r="Q498" i="1"/>
  <c r="Q536" i="1"/>
  <c r="R536" i="1" s="1"/>
  <c r="Q932" i="1"/>
  <c r="R932" i="1" s="1"/>
  <c r="Q444" i="1"/>
  <c r="Q484" i="1"/>
  <c r="Q750" i="1"/>
  <c r="Q189" i="1"/>
  <c r="Q407" i="1"/>
  <c r="Q421" i="1"/>
  <c r="Q427" i="1"/>
  <c r="R427" i="1" s="1"/>
  <c r="Q152" i="1"/>
  <c r="Q919" i="1"/>
  <c r="Q235" i="1"/>
  <c r="Q982" i="1"/>
  <c r="R982" i="1" s="1"/>
  <c r="Q485" i="1"/>
  <c r="Q399" i="1"/>
  <c r="R399" i="1" s="1"/>
  <c r="Q331" i="1"/>
  <c r="Q929" i="1"/>
  <c r="Q190" i="1"/>
  <c r="Q517" i="1"/>
  <c r="Q978" i="1"/>
  <c r="R978" i="1" s="1"/>
  <c r="Q153" i="1"/>
  <c r="Q892" i="1"/>
  <c r="R892" i="1" s="1"/>
  <c r="Q686" i="1"/>
  <c r="Q603" i="1"/>
  <c r="Q381" i="1"/>
  <c r="R381" i="1" s="1"/>
  <c r="Q575" i="1"/>
  <c r="R575" i="1" s="1"/>
  <c r="Q567" i="1"/>
  <c r="Q859" i="1"/>
  <c r="R859" i="1" s="1"/>
  <c r="Q102" i="1"/>
  <c r="Q433" i="1"/>
  <c r="Q751" i="1"/>
  <c r="Q820" i="1"/>
  <c r="R820" i="1" s="1"/>
  <c r="Q757" i="1"/>
  <c r="Q388" i="1"/>
  <c r="Q67" i="1"/>
  <c r="Q66" i="1"/>
  <c r="R66" i="1" s="1"/>
  <c r="Q687" i="1"/>
  <c r="Q220" i="1"/>
  <c r="Q478" i="1"/>
  <c r="Q526" i="1"/>
  <c r="Q314" i="1"/>
  <c r="Q317" i="1"/>
  <c r="R317" i="1" s="1"/>
  <c r="Q594" i="1"/>
  <c r="Q457" i="1"/>
  <c r="Q867" i="1"/>
  <c r="R867" i="1" s="1"/>
  <c r="Q361" i="1"/>
  <c r="Q704" i="1"/>
  <c r="Q163" i="1"/>
  <c r="Q972" i="1"/>
  <c r="R972" i="1" s="1"/>
  <c r="Q356" i="1"/>
  <c r="Q761" i="1"/>
  <c r="Q709" i="1"/>
  <c r="Q999" i="1"/>
  <c r="R999" i="1" s="1"/>
  <c r="Q448" i="1"/>
  <c r="Q244" i="1"/>
  <c r="Q164" i="1"/>
  <c r="Q762" i="1"/>
  <c r="R762" i="1" s="1"/>
  <c r="Q490" i="1"/>
  <c r="R490" i="1" s="1"/>
  <c r="Q944" i="1"/>
  <c r="Q26" i="1"/>
  <c r="Q878" i="1"/>
  <c r="Q845" i="1"/>
  <c r="Q669" i="1"/>
  <c r="Q881" i="1"/>
  <c r="Q683" i="1"/>
  <c r="R683" i="1" s="1"/>
  <c r="Q896" i="1"/>
  <c r="Q160" i="1"/>
  <c r="Q671" i="1"/>
  <c r="Q651" i="1"/>
  <c r="Q630" i="1"/>
  <c r="Q196" i="1"/>
  <c r="Q157" i="1"/>
  <c r="Q274" i="1"/>
  <c r="Q258" i="1"/>
  <c r="Q705" i="1"/>
  <c r="Q776" i="1"/>
  <c r="Q270" i="1"/>
  <c r="Q247" i="1"/>
  <c r="Q221" i="1"/>
  <c r="Q763" i="1"/>
  <c r="R763" i="1" s="1"/>
  <c r="Q334" i="1"/>
  <c r="Q810" i="1"/>
  <c r="R810" i="1" s="1"/>
  <c r="Q455" i="1"/>
  <c r="Q504" i="1"/>
  <c r="Q599" i="1"/>
  <c r="Q838" i="1"/>
  <c r="Q21" i="1"/>
  <c r="Q904" i="1"/>
  <c r="Q702" i="1"/>
  <c r="Q445" i="1"/>
  <c r="R445" i="1" s="1"/>
  <c r="Q409" i="1"/>
  <c r="Q240" i="1"/>
  <c r="Q394" i="1"/>
  <c r="Q312" i="1"/>
  <c r="Q111" i="1"/>
  <c r="Q752" i="1"/>
  <c r="Q512" i="1"/>
  <c r="Q229" i="1"/>
  <c r="Q5" i="1"/>
  <c r="Q815" i="1"/>
  <c r="Q533" i="1"/>
  <c r="Q36" i="1"/>
  <c r="Q637" i="1"/>
  <c r="R637" i="1" s="1"/>
  <c r="Q528" i="1"/>
  <c r="R528" i="1" s="1"/>
  <c r="Q332" i="1"/>
  <c r="Q69" i="1"/>
  <c r="Q695" i="1"/>
  <c r="Q782" i="1"/>
  <c r="Q684" i="1"/>
  <c r="R684" i="1" s="1"/>
  <c r="Q595" i="1"/>
  <c r="Q612" i="1"/>
  <c r="Q159" i="1"/>
  <c r="Q963" i="1"/>
  <c r="R963" i="1" s="1"/>
  <c r="Q930" i="1"/>
  <c r="R930" i="1" s="1"/>
  <c r="Q991" i="1"/>
  <c r="Q740" i="1"/>
  <c r="R740" i="1" s="1"/>
  <c r="Q226" i="1"/>
  <c r="Q548" i="1"/>
  <c r="Q434" i="1"/>
  <c r="Q335" i="1"/>
  <c r="Q171" i="1"/>
  <c r="Q576" i="1"/>
  <c r="Q349" i="1"/>
  <c r="Q604" i="1"/>
  <c r="Q560" i="1"/>
  <c r="Q320" i="1"/>
  <c r="Q561" i="1"/>
  <c r="Q50" i="1"/>
  <c r="R50" i="1" s="1"/>
  <c r="Q28" i="1"/>
  <c r="Q128" i="1"/>
  <c r="Q647" i="1"/>
  <c r="Q742" i="1"/>
  <c r="Q973" i="1"/>
  <c r="Q544" i="1"/>
  <c r="Q666" i="1"/>
  <c r="R666" i="1" s="1"/>
  <c r="Q738" i="1"/>
  <c r="R738" i="1" s="1"/>
  <c r="Q638" i="1"/>
  <c r="Q12" i="1"/>
  <c r="Q422" i="1"/>
  <c r="Q95" i="1"/>
  <c r="Q304" i="1"/>
  <c r="R304" i="1" s="1"/>
  <c r="Q275" i="1"/>
  <c r="Q577" i="1"/>
  <c r="Q783" i="1"/>
  <c r="Q212" i="1"/>
  <c r="Q890" i="1"/>
  <c r="R890" i="1" s="1"/>
  <c r="Q392" i="1"/>
  <c r="Q350" i="1"/>
  <c r="Q928" i="1"/>
  <c r="Q139" i="1"/>
  <c r="Q966" i="1"/>
  <c r="Q133" i="1"/>
  <c r="Q106" i="1"/>
  <c r="Q61" i="1"/>
  <c r="Q456" i="1"/>
  <c r="Q416" i="1"/>
  <c r="Q215" i="1"/>
  <c r="Q245" i="1"/>
  <c r="Q324" i="1"/>
  <c r="Q984" i="1"/>
  <c r="R984" i="1" s="1"/>
  <c r="Q931" i="1"/>
  <c r="R931" i="1" s="1"/>
  <c r="Q90" i="1"/>
  <c r="Q846" i="1"/>
  <c r="Q759" i="1"/>
  <c r="Q368" i="1"/>
  <c r="R368" i="1" s="1"/>
  <c r="Q589" i="1"/>
  <c r="Q462" i="1"/>
  <c r="Q276" i="1"/>
  <c r="Q717" i="1"/>
  <c r="Q648" i="1"/>
  <c r="R648" i="1" s="1"/>
  <c r="Q830" i="1"/>
  <c r="Q474" i="1"/>
  <c r="R474" i="1" s="1"/>
  <c r="Q518" i="1"/>
  <c r="Q338" i="1"/>
  <c r="R338" i="1" s="1"/>
  <c r="Q144" i="1"/>
  <c r="Q192" i="1"/>
  <c r="Q354" i="1"/>
  <c r="Q833" i="1"/>
  <c r="Q987" i="1"/>
  <c r="Q522" i="1"/>
  <c r="Q826" i="1"/>
  <c r="R826" i="1" s="1"/>
  <c r="Q499" i="1"/>
  <c r="R499" i="1" s="1"/>
  <c r="Q779" i="1"/>
  <c r="R779" i="1" s="1"/>
  <c r="Q746" i="1"/>
  <c r="R746" i="1" s="1"/>
  <c r="Q96" i="1"/>
  <c r="Q404" i="1"/>
  <c r="Q714" i="1"/>
  <c r="Q797" i="1"/>
  <c r="Q37" i="1"/>
  <c r="Q452" i="1"/>
  <c r="Q315" i="1"/>
  <c r="R315" i="1" s="1"/>
  <c r="Q510" i="1"/>
  <c r="Q791" i="1"/>
  <c r="Q633" i="1"/>
  <c r="Q618" i="1"/>
  <c r="Q834" i="1"/>
  <c r="R834" i="1" s="1"/>
  <c r="Q277" i="1"/>
  <c r="Q165" i="1"/>
  <c r="Q309" i="1"/>
  <c r="Q412" i="1"/>
  <c r="Q667" i="1"/>
  <c r="Q200" i="1"/>
  <c r="Q841" i="1"/>
  <c r="Q770" i="1"/>
  <c r="R770" i="1" s="1"/>
  <c r="Q673" i="1"/>
  <c r="R673" i="1" s="1"/>
  <c r="Q112" i="1"/>
  <c r="Q652" i="1"/>
  <c r="Q400" i="1"/>
  <c r="R400" i="1" s="1"/>
  <c r="Q619" i="1"/>
  <c r="R619" i="1" s="1"/>
  <c r="Q664" i="1"/>
  <c r="R664" i="1" s="1"/>
  <c r="Q920" i="1"/>
  <c r="Q996" i="1"/>
  <c r="R996" i="1" s="1"/>
  <c r="Q545" i="1"/>
  <c r="R545" i="1" s="1"/>
  <c r="Q423" i="1"/>
  <c r="Q206" i="1"/>
  <c r="Q546" i="1"/>
  <c r="R546" i="1" s="1"/>
  <c r="Q798" i="1"/>
  <c r="Q62" i="1"/>
  <c r="Q351" i="1"/>
  <c r="Q585" i="1"/>
  <c r="Q180" i="1"/>
  <c r="Q295" i="1"/>
  <c r="R295" i="1" s="1"/>
  <c r="Q140" i="1"/>
  <c r="Q83" i="1"/>
  <c r="Q122" i="1"/>
  <c r="R122" i="1" s="1"/>
  <c r="Q777" i="1"/>
  <c r="Q357" i="1"/>
  <c r="Q631" i="1"/>
  <c r="Q301" i="1"/>
  <c r="Q471" i="1"/>
  <c r="Q286" i="1"/>
  <c r="Q959" i="1"/>
  <c r="Q40" i="1"/>
  <c r="Q735" i="1"/>
  <c r="Q285" i="1"/>
  <c r="Q141" i="1"/>
  <c r="Q821" i="1"/>
  <c r="Q63" i="1"/>
  <c r="Q905" i="1"/>
  <c r="Q168" i="1"/>
  <c r="Q839" i="1"/>
  <c r="Q816" i="1"/>
  <c r="Q41" i="1"/>
  <c r="Q860" i="1"/>
  <c r="R860" i="1" s="1"/>
  <c r="Q224" i="1"/>
  <c r="Q582" i="1"/>
  <c r="Q925" i="1"/>
  <c r="Q706" i="1"/>
  <c r="R706" i="1" s="1"/>
  <c r="Q405" i="1"/>
  <c r="Q227" i="1"/>
  <c r="Q578" i="1"/>
  <c r="Q537" i="1"/>
  <c r="R537" i="1" s="1"/>
  <c r="Q543" i="1"/>
  <c r="Q84" i="1"/>
  <c r="Q251" i="1"/>
  <c r="R251" i="1" s="1"/>
  <c r="Q718" i="1"/>
  <c r="Q386" i="1"/>
  <c r="Q172" i="1"/>
  <c r="Q997" i="1"/>
  <c r="Q88" i="1"/>
  <c r="Q150" i="1"/>
  <c r="Q764" i="1"/>
  <c r="R764" i="1" s="1"/>
  <c r="Q710" i="1"/>
  <c r="Q58" i="1"/>
  <c r="R58" i="1" s="1"/>
  <c r="Q539" i="1"/>
  <c r="Q747" i="1"/>
  <c r="R747" i="1" s="1"/>
  <c r="Q242" i="1"/>
  <c r="Q674" i="1"/>
  <c r="R674" i="1" s="1"/>
  <c r="Q723" i="1"/>
  <c r="R723" i="1" s="1"/>
  <c r="Q916" i="1"/>
  <c r="R916" i="1" s="1"/>
  <c r="Q325" i="1"/>
  <c r="R325" i="1" s="1"/>
  <c r="Q22" i="1"/>
  <c r="Q374" i="1"/>
  <c r="Q481" i="1"/>
  <c r="R481" i="1" s="1"/>
  <c r="Q897" i="1"/>
  <c r="Q851" i="1"/>
  <c r="R851" i="1" s="1"/>
  <c r="Q579" i="1"/>
  <c r="Q230" i="1"/>
  <c r="Q600" i="1"/>
  <c r="R600" i="1" s="1"/>
  <c r="Q288" i="1"/>
  <c r="Q729" i="1"/>
  <c r="Q51" i="1"/>
  <c r="Q438" i="1"/>
  <c r="Q413" i="1"/>
  <c r="Q302" i="1"/>
  <c r="Q513" i="1"/>
  <c r="Q804" i="1"/>
  <c r="R804" i="1" s="1"/>
  <c r="Q278" i="1"/>
  <c r="Q358" i="1"/>
  <c r="Q784" i="1"/>
  <c r="Q469" i="1"/>
  <c r="Q505" i="1"/>
  <c r="Q992" i="1"/>
  <c r="R992" i="1" s="1"/>
  <c r="Q123" i="1"/>
  <c r="Q55" i="1"/>
  <c r="Q13" i="1"/>
  <c r="Q945" i="1"/>
  <c r="Q565" i="1"/>
  <c r="R565" i="1" s="1"/>
  <c r="Q446" i="1"/>
  <c r="Q59" i="1"/>
  <c r="Q303" i="1"/>
  <c r="Q840" i="1"/>
  <c r="Q620" i="1"/>
  <c r="R620" i="1" s="1"/>
  <c r="Q465" i="1"/>
  <c r="R465" i="1" s="1"/>
  <c r="Q107" i="1"/>
  <c r="Q677" i="1"/>
  <c r="Q670" i="1"/>
  <c r="Q719" i="1"/>
  <c r="Q382" i="1"/>
  <c r="Q731" i="1"/>
  <c r="R731" i="1" s="1"/>
  <c r="Q271" i="1"/>
  <c r="Q621" i="1"/>
  <c r="Q124" i="1"/>
  <c r="Q811" i="1"/>
  <c r="R811" i="1" s="1"/>
  <c r="Q97" i="1"/>
  <c r="Q861" i="1"/>
  <c r="Q665" i="1"/>
  <c r="R665" i="1" s="1"/>
  <c r="Q642" i="1"/>
  <c r="Q508" i="1"/>
  <c r="R508" i="1" s="1"/>
  <c r="Q727" i="1"/>
  <c r="Q643" i="1"/>
  <c r="Q653" i="1"/>
  <c r="Q711" i="1"/>
  <c r="Q974" i="1"/>
  <c r="R974" i="1" s="1"/>
  <c r="Q926" i="1"/>
  <c r="Q194" i="1"/>
  <c r="R194" i="1" s="1"/>
  <c r="Q486" i="1"/>
  <c r="Q7" i="1"/>
  <c r="Q384" i="1"/>
  <c r="Q435" i="1"/>
  <c r="R435" i="1" s="1"/>
  <c r="Q887" i="1"/>
  <c r="Q393" i="1"/>
  <c r="Q785" i="1"/>
  <c r="Q417" i="1"/>
  <c r="R417" i="1" s="1"/>
  <c r="Q523" i="1"/>
  <c r="Q207" i="1"/>
  <c r="Q822" i="1"/>
  <c r="Q933" i="1"/>
  <c r="Q379" i="1"/>
  <c r="Q511" i="1"/>
  <c r="R511" i="1" s="1"/>
  <c r="Q786" i="1"/>
  <c r="R786" i="1" s="1"/>
  <c r="Q181" i="1"/>
  <c r="Q538" i="1"/>
  <c r="R538" i="1" s="1"/>
  <c r="Q792" i="1"/>
  <c r="Q868" i="1"/>
  <c r="R868" i="1" s="1"/>
  <c r="Q812" i="1"/>
  <c r="R812" i="1" s="1"/>
  <c r="Q934" i="1"/>
  <c r="Q38" i="1"/>
  <c r="Q185" i="1"/>
  <c r="Q912" i="1"/>
  <c r="Q613" i="1"/>
  <c r="Q418" i="1"/>
  <c r="R418" i="1" s="1"/>
  <c r="Q540" i="1"/>
  <c r="Q158" i="1"/>
  <c r="Q692" i="1"/>
  <c r="Q173" i="1"/>
  <c r="Q202" i="1"/>
  <c r="Q401" i="1"/>
  <c r="R401" i="1" s="1"/>
  <c r="Q946" i="1"/>
  <c r="R946" i="1" s="1"/>
  <c r="Q191" i="1"/>
  <c r="Q835" i="1"/>
  <c r="R835" i="1" s="1"/>
  <c r="Q660" i="1"/>
  <c r="Q1000" i="1"/>
  <c r="Q906" i="1"/>
  <c r="R906" i="1" s="1"/>
  <c r="Q300" i="1"/>
  <c r="Q614" i="1"/>
  <c r="Q847" i="1"/>
  <c r="Q588" i="1"/>
  <c r="Q654" i="1"/>
  <c r="Q691" i="1"/>
  <c r="R691" i="1" s="1"/>
  <c r="Q698" i="1"/>
  <c r="Q18" i="1"/>
  <c r="Q696" i="1"/>
  <c r="Q161" i="1"/>
  <c r="Q151" i="1"/>
  <c r="Q580" i="1"/>
  <c r="Q487" i="1"/>
  <c r="Q29" i="1"/>
  <c r="Q280" i="1"/>
  <c r="Q70" i="1"/>
  <c r="Q655" i="1"/>
  <c r="R655" i="1" s="1"/>
  <c r="Q182" i="1"/>
  <c r="Q491" i="1"/>
  <c r="R491" i="1" s="1"/>
  <c r="Q922" i="1"/>
  <c r="R922" i="1" s="1"/>
  <c r="Q186" i="1"/>
  <c r="R186" i="1" s="1"/>
  <c r="Q390" i="1"/>
  <c r="Q583" i="1"/>
  <c r="Q8" i="1"/>
  <c r="Q440" i="1"/>
  <c r="Q622" i="1"/>
  <c r="Q720" i="1"/>
  <c r="Q336" i="1"/>
  <c r="R336" i="1" s="1"/>
  <c r="Q252" i="1"/>
  <c r="Q901" i="1"/>
  <c r="Q197" i="1"/>
  <c r="Q970" i="1"/>
  <c r="R970" i="1" s="1"/>
  <c r="Q279" i="1"/>
  <c r="R279" i="1" s="1"/>
  <c r="Q715" i="1"/>
  <c r="R715" i="1" s="1"/>
  <c r="Q296" i="1"/>
  <c r="Q882" i="1"/>
  <c r="R882" i="1" s="1"/>
  <c r="Q342" i="1"/>
  <c r="Q98" i="1"/>
  <c r="Q375" i="1"/>
  <c r="Q529" i="1"/>
  <c r="R529" i="1" s="1"/>
  <c r="Q615" i="1"/>
  <c r="Q909" i="1"/>
  <c r="Q466" i="1"/>
  <c r="Q30" i="1"/>
  <c r="Q129" i="1"/>
  <c r="Q85" i="1"/>
  <c r="Q697" i="1"/>
  <c r="Q616" i="1"/>
  <c r="Q344" i="1"/>
  <c r="Q120" i="1"/>
  <c r="Q898" i="1"/>
  <c r="R898" i="1" s="1"/>
  <c r="Q678" i="1"/>
  <c r="Q482" i="1"/>
  <c r="R482" i="1" s="1"/>
  <c r="Q255" i="1"/>
  <c r="Q113" i="1"/>
  <c r="Q854" i="1"/>
  <c r="Q483" i="1"/>
  <c r="R483" i="1" s="1"/>
  <c r="Q749" i="1"/>
  <c r="Q228" i="1"/>
  <c r="Q318" i="1"/>
  <c r="Q130" i="1"/>
  <c r="R130" i="1" s="1"/>
  <c r="Q805" i="1"/>
  <c r="Q605" i="1"/>
  <c r="Q862" i="1"/>
  <c r="Q947" i="1"/>
  <c r="R947" i="1" s="1"/>
  <c r="Q321" i="1"/>
  <c r="Q509" i="1"/>
  <c r="R509" i="1" s="1"/>
  <c r="Q883" i="1"/>
  <c r="R883" i="1" s="1"/>
  <c r="Q167" i="1"/>
  <c r="Q131" i="1"/>
  <c r="Q960" i="1"/>
  <c r="Q132" i="1"/>
  <c r="Q941" i="1"/>
  <c r="Q649" i="1"/>
  <c r="Q771" i="1"/>
  <c r="R771" i="1" s="1"/>
  <c r="Q699" i="1"/>
  <c r="R699" i="1" s="1"/>
  <c r="Q584" i="1"/>
  <c r="R584" i="1" s="1"/>
  <c r="Q395" i="1"/>
  <c r="Q918" i="1"/>
  <c r="Q463" i="1"/>
  <c r="R463" i="1" s="1"/>
  <c r="Q259" i="1"/>
  <c r="Q956" i="1"/>
  <c r="R956" i="1" s="1"/>
  <c r="Q174" i="1"/>
  <c r="Q175" i="1"/>
  <c r="Q818" i="1"/>
  <c r="R818" i="1" s="1"/>
  <c r="Q464" i="1"/>
  <c r="R464" i="1" s="1"/>
  <c r="Q721" i="1"/>
  <c r="Q988" i="1"/>
  <c r="R988" i="1" s="1"/>
  <c r="Q142" i="1"/>
  <c r="Q937" i="1"/>
  <c r="Q500" i="1"/>
  <c r="R500" i="1" s="1"/>
  <c r="Q467" i="1"/>
  <c r="Q967" i="1"/>
  <c r="Q519" i="1"/>
  <c r="R519" i="1" s="1"/>
  <c r="Q425" i="1"/>
  <c r="Q514" i="1"/>
  <c r="Q23" i="1"/>
  <c r="Q364" i="1"/>
  <c r="Q639" i="1"/>
  <c r="R639" i="1" s="1"/>
  <c r="Q143" i="1"/>
  <c r="Q848" i="1"/>
  <c r="Q672" i="1"/>
  <c r="Q101" i="1"/>
  <c r="Q78" i="1"/>
  <c r="Q441" i="1"/>
  <c r="Q989" i="1"/>
  <c r="R989" i="1" s="1"/>
  <c r="Q436" i="1"/>
  <c r="R436" i="1" s="1"/>
  <c r="Q125" i="1"/>
  <c r="Q231" i="1"/>
  <c r="Q968" i="1"/>
  <c r="R968" i="1" s="1"/>
  <c r="Q689" i="1"/>
  <c r="Q555" i="1"/>
  <c r="R555" i="1" s="1"/>
  <c r="Q217" i="1"/>
  <c r="Q42" i="1"/>
  <c r="Q793" i="1"/>
  <c r="Q606" i="1"/>
  <c r="Q48" i="1"/>
  <c r="Q145" i="1"/>
  <c r="Q426" i="1"/>
  <c r="Q316" i="1"/>
  <c r="R316" i="1" s="1"/>
  <c r="Q634" i="1"/>
  <c r="Q64" i="1"/>
  <c r="Q979" i="1"/>
  <c r="R979" i="1" s="1"/>
  <c r="Q601" i="1"/>
  <c r="R601" i="1" s="1"/>
  <c r="Q961" i="1"/>
  <c r="Q515" i="1"/>
  <c r="Q935" i="1"/>
  <c r="Q998" i="1"/>
  <c r="R998" i="1" s="1"/>
  <c r="Q450" i="1"/>
  <c r="Q891" i="1"/>
  <c r="R891" i="1" s="1"/>
  <c r="Q209" i="1"/>
  <c r="Q635" i="1"/>
  <c r="Q607" i="1"/>
  <c r="Q869" i="1"/>
  <c r="Q178" i="1"/>
  <c r="Q917" i="1"/>
  <c r="Q596" i="1"/>
  <c r="Q114" i="1"/>
  <c r="R114" i="1" s="1"/>
  <c r="Q739" i="1"/>
  <c r="R739" i="1" s="1"/>
  <c r="Q532" i="1"/>
  <c r="Q952" i="1"/>
  <c r="R952" i="1" s="1"/>
  <c r="Q656" i="1"/>
  <c r="R656" i="1" s="1"/>
  <c r="Q888" i="1"/>
  <c r="Q590" i="1"/>
  <c r="Q520" i="1"/>
  <c r="R520" i="1" s="1"/>
  <c r="Q65" i="1"/>
  <c r="Q43" i="1"/>
  <c r="Q524" i="1"/>
  <c r="Q73" i="1"/>
  <c r="Q337" i="1"/>
  <c r="Q566" i="1"/>
  <c r="Q825" i="1"/>
  <c r="Q724" i="1"/>
  <c r="R724" i="1" s="1"/>
  <c r="Q521" i="1"/>
  <c r="Q479" i="1"/>
  <c r="Q753" i="1"/>
  <c r="Q552" i="1"/>
  <c r="Q453" i="1"/>
  <c r="R453" i="1" s="1"/>
  <c r="Q679" i="1"/>
  <c r="Q623" i="1"/>
  <c r="Q24" i="1"/>
  <c r="Q99" i="1"/>
  <c r="Q104" i="1"/>
  <c r="Q369" i="1"/>
  <c r="Q222" i="1"/>
  <c r="Q169" i="1"/>
  <c r="Q89" i="1"/>
  <c r="Q617" i="1"/>
  <c r="Q754" i="1"/>
  <c r="R754" i="1" s="1"/>
  <c r="Q14" i="1"/>
  <c r="Q281" i="1"/>
  <c r="Q126" i="1"/>
  <c r="Q725" i="1"/>
  <c r="Q755" i="1"/>
  <c r="R755" i="1" s="1"/>
  <c r="Q432" i="1"/>
  <c r="Q213" i="1"/>
  <c r="Q765" i="1"/>
  <c r="Q355" i="1"/>
  <c r="Q480" i="1"/>
  <c r="Q236" i="1"/>
  <c r="Q74" i="1"/>
  <c r="Q91" i="1"/>
  <c r="Q530" i="1"/>
  <c r="Q921" i="1"/>
  <c r="Q644" i="1"/>
  <c r="Q260" i="1"/>
  <c r="Q72" i="1"/>
  <c r="Q817" i="1"/>
  <c r="Q971" i="1"/>
  <c r="R971" i="1" s="1"/>
  <c r="Q237" i="1"/>
  <c r="Q700" i="1"/>
  <c r="Q396" i="1"/>
  <c r="Q688" i="1"/>
  <c r="Q170" i="1"/>
  <c r="Q56" i="1"/>
  <c r="Q449" i="1"/>
  <c r="Q451" i="1"/>
  <c r="Q875" i="1"/>
  <c r="R875" i="1" s="1"/>
  <c r="Q743" i="1"/>
  <c r="Q741" i="1"/>
  <c r="Q44" i="1"/>
  <c r="Q732" i="1"/>
  <c r="R732" i="1" s="1"/>
  <c r="Q726" i="1"/>
  <c r="Q558" i="1"/>
  <c r="Q92" i="1"/>
  <c r="Q203" i="1"/>
  <c r="Q179" i="1"/>
  <c r="Q391" i="1"/>
  <c r="R391" i="1" s="1"/>
  <c r="Q262" i="1"/>
  <c r="Q831" i="1"/>
  <c r="Q27" i="1"/>
  <c r="Q223" i="1"/>
  <c r="Q93" i="1"/>
  <c r="Q476" i="1"/>
  <c r="Q154" i="1"/>
  <c r="Q541" i="1"/>
  <c r="Q948" i="1"/>
  <c r="R948" i="1" s="1"/>
  <c r="Q501" i="1"/>
  <c r="R501" i="1" s="1"/>
  <c r="Q79" i="1"/>
  <c r="Q855" i="1"/>
  <c r="Q146" i="1"/>
  <c r="Q57" i="1"/>
  <c r="Q419" i="1"/>
  <c r="Q597" i="1"/>
  <c r="Q556" i="1"/>
  <c r="R556" i="1" s="1"/>
  <c r="Q730" i="1"/>
  <c r="R730" i="1" s="1"/>
  <c r="Q645" i="1"/>
  <c r="R645" i="1" s="1"/>
  <c r="Q927" i="1"/>
  <c r="Q625" i="1"/>
  <c r="Q31" i="1"/>
  <c r="Q458" i="1"/>
  <c r="Q870" i="1"/>
  <c r="Q573" i="1"/>
  <c r="R573" i="1" s="1"/>
  <c r="Q326" i="1"/>
  <c r="Q936" i="1"/>
  <c r="Q204" i="1"/>
  <c r="Q193" i="1"/>
  <c r="Q554" i="1"/>
  <c r="R554" i="1" s="1"/>
  <c r="Q562" i="1"/>
  <c r="Q205" i="1"/>
  <c r="Q737" i="1"/>
  <c r="Q733" i="1"/>
  <c r="Q876" i="1"/>
  <c r="R876" i="1" s="1"/>
  <c r="Q923" i="1"/>
  <c r="R923" i="1" s="1"/>
  <c r="Q1001" i="1"/>
  <c r="R1001" i="1" s="1"/>
  <c r="Q269" i="1"/>
  <c r="Q459" i="1"/>
  <c r="Q103" i="1"/>
  <c r="Q39" i="1"/>
  <c r="Q806" i="1"/>
  <c r="Q586" i="1"/>
  <c r="Q772" i="1"/>
  <c r="R772" i="1" s="1"/>
  <c r="Q287" i="1"/>
  <c r="Q716" i="1"/>
  <c r="R716" i="1" s="1"/>
  <c r="Q574" i="1"/>
  <c r="Q496" i="1"/>
  <c r="Q248" i="1"/>
  <c r="Q134" i="1"/>
  <c r="Q216" i="1"/>
  <c r="Q147" i="1"/>
  <c r="Q442" i="1"/>
  <c r="Q225" i="1"/>
  <c r="Q836" i="1"/>
  <c r="Q243" i="1"/>
  <c r="Q261" i="1"/>
  <c r="Q402" i="1"/>
  <c r="Q447" i="1"/>
  <c r="R447" i="1" s="1"/>
  <c r="Q549" i="1"/>
  <c r="Q657" i="1"/>
  <c r="R657" i="1" s="1"/>
  <c r="Q957" i="1"/>
  <c r="Q6" i="1"/>
  <c r="Q610" i="1"/>
  <c r="R610" i="1" s="1"/>
  <c r="Q773" i="1"/>
  <c r="Q636" i="1"/>
  <c r="R636" i="1" s="1"/>
  <c r="Q218" i="1"/>
  <c r="Q322" i="1"/>
  <c r="Q424" i="1"/>
  <c r="Q289" i="1"/>
  <c r="Q527" i="1"/>
  <c r="Q460" i="1"/>
  <c r="Q975" i="1"/>
  <c r="R975" i="1" s="1"/>
  <c r="Q256" i="1"/>
  <c r="Q477" i="1"/>
  <c r="Q339" i="1"/>
  <c r="R339" i="1" s="1"/>
  <c r="Q387" i="1"/>
  <c r="Q299" i="1"/>
  <c r="Q823" i="1"/>
  <c r="Q980" i="1"/>
  <c r="R980" i="1" s="1"/>
  <c r="Q856" i="1"/>
  <c r="Q343" i="1"/>
  <c r="Q32" i="1"/>
  <c r="Q701" i="1"/>
  <c r="Q208" i="1"/>
  <c r="Q976" i="1"/>
  <c r="R976" i="1" s="1"/>
  <c r="Q602" i="1"/>
  <c r="Q135" i="1"/>
  <c r="Q553" i="1"/>
  <c r="Q707" i="1"/>
  <c r="R707" i="1" s="1"/>
  <c r="Q899" i="1"/>
  <c r="R899" i="1" s="1"/>
  <c r="Q492" i="1"/>
  <c r="R492" i="1" s="1"/>
  <c r="Q942" i="1"/>
  <c r="Q863" i="1"/>
  <c r="Q238" i="1"/>
  <c r="Q864" i="1"/>
  <c r="Q310" i="1"/>
  <c r="Q680" i="1"/>
  <c r="Q25" i="1"/>
  <c r="Q239" i="1"/>
  <c r="Q559" i="1"/>
  <c r="Q849" i="1"/>
  <c r="Q75" i="1"/>
  <c r="Q9" i="1"/>
  <c r="Q347" i="1"/>
  <c r="R347" i="1" s="1"/>
  <c r="Q800" i="1"/>
  <c r="Q516" i="1"/>
  <c r="Q985" i="1"/>
  <c r="R985" i="1" s="1"/>
  <c r="Q52" i="1"/>
  <c r="Q45" i="1"/>
  <c r="Q246" i="1"/>
  <c r="Q46" i="1"/>
  <c r="Q86" i="1"/>
  <c r="Q807" i="1"/>
  <c r="Q661" i="1"/>
  <c r="Q340" i="1"/>
  <c r="Q397" i="1"/>
  <c r="Q166" i="1"/>
  <c r="Q650" i="1"/>
  <c r="Q969" i="1"/>
  <c r="Q475" i="1"/>
  <c r="Q593" i="1"/>
  <c r="R593" i="1" s="1"/>
  <c r="Q333" i="1"/>
  <c r="Q832" i="1"/>
  <c r="Q506" i="1"/>
  <c r="Q766" i="1"/>
  <c r="Q827" i="1"/>
  <c r="Q803" i="1"/>
  <c r="R803" i="1" s="1"/>
  <c r="Q232" i="1"/>
  <c r="Q568" i="1"/>
  <c r="Q408" i="1"/>
  <c r="R408" i="1" s="1"/>
  <c r="Q115" i="1"/>
  <c r="Q953" i="1"/>
  <c r="Q842" i="1"/>
  <c r="R842" i="1" s="1"/>
  <c r="Q983" i="1"/>
  <c r="Q176" i="1"/>
  <c r="Q359" i="1"/>
  <c r="R359" i="1" s="1"/>
  <c r="Q550" i="1"/>
  <c r="Q662" i="1"/>
  <c r="Q109" i="1"/>
  <c r="Q263" i="1"/>
  <c r="Q557" i="1"/>
  <c r="Q958" i="1"/>
  <c r="Q910" i="1"/>
  <c r="Q824" i="1"/>
  <c r="Q951" i="1"/>
  <c r="Q571" i="1"/>
  <c r="Q439" i="1"/>
  <c r="Q80" i="1"/>
  <c r="Q787" i="1"/>
  <c r="R787" i="1" s="1"/>
  <c r="Q15" i="1"/>
  <c r="Q592" i="1"/>
  <c r="R592" i="1" s="1"/>
  <c r="Q993" i="1"/>
  <c r="R993" i="1" s="1"/>
  <c r="Q71" i="1"/>
  <c r="Q414" i="1"/>
  <c r="Q155" i="1"/>
  <c r="Q488" i="1"/>
  <c r="Q272" i="1"/>
  <c r="Q297" i="1"/>
  <c r="Q675" i="1"/>
  <c r="R675" i="1" s="1"/>
  <c r="Q327" i="1"/>
  <c r="R327" i="1" s="1"/>
  <c r="Q962" i="1"/>
  <c r="R962" i="1" s="1"/>
  <c r="Q626" i="1"/>
  <c r="P105" i="1"/>
  <c r="P306" i="1"/>
  <c r="P703" i="1"/>
  <c r="P640" i="1"/>
  <c r="P233" i="1"/>
  <c r="P136" i="1"/>
  <c r="P282" i="1"/>
  <c r="P19" i="1"/>
  <c r="P497" i="1"/>
  <c r="P744" i="1"/>
  <c r="P871" i="1"/>
  <c r="P611" i="1"/>
  <c r="P850" i="1"/>
  <c r="P994" i="1"/>
  <c r="P627" i="1"/>
  <c r="P767" i="1"/>
  <c r="P406" i="1"/>
  <c r="P736" i="1"/>
  <c r="P534" i="1"/>
  <c r="P201" i="1"/>
  <c r="P311" i="1"/>
  <c r="P10" i="1"/>
  <c r="P949" i="1"/>
  <c r="P907" i="1"/>
  <c r="P857" i="1"/>
  <c r="P950" i="1"/>
  <c r="P266" i="1"/>
  <c r="P410" i="1"/>
  <c r="P837" i="1"/>
  <c r="P371" i="1"/>
  <c r="P668" i="1"/>
  <c r="P658" i="1"/>
  <c r="P100" i="1"/>
  <c r="P127" i="1"/>
  <c r="P628" i="1"/>
  <c r="P110" i="1"/>
  <c r="P598" i="1"/>
  <c r="P20" i="1"/>
  <c r="P879" i="1"/>
  <c r="P591" i="1"/>
  <c r="P210" i="1"/>
  <c r="P11" i="1"/>
  <c r="P914" i="1"/>
  <c r="P365" i="1"/>
  <c r="P328" i="1"/>
  <c r="P264" i="1"/>
  <c r="P183" i="1"/>
  <c r="P525" i="1"/>
  <c r="P915" i="1"/>
  <c r="P551" i="1"/>
  <c r="P87" i="1"/>
  <c r="P472" i="1"/>
  <c r="P802" i="1"/>
  <c r="P362" i="1"/>
  <c r="P889" i="1"/>
  <c r="P329" i="1"/>
  <c r="P884" i="1"/>
  <c r="P734" i="1"/>
  <c r="P569" i="1"/>
  <c r="P608" i="1"/>
  <c r="P68" i="1"/>
  <c r="P313" i="1"/>
  <c r="P378" i="1"/>
  <c r="P148" i="1"/>
  <c r="P2" i="1"/>
  <c r="P253" i="1"/>
  <c r="P383" i="1"/>
  <c r="P872" i="1"/>
  <c r="P116" i="1"/>
  <c r="P780" i="1"/>
  <c r="P377" i="1"/>
  <c r="P964" i="1"/>
  <c r="P911" i="1"/>
  <c r="P690" i="1"/>
  <c r="P443" i="1"/>
  <c r="P489" i="1"/>
  <c r="P33" i="1"/>
  <c r="P693" i="1"/>
  <c r="P376" i="1"/>
  <c r="P470" i="1"/>
  <c r="P47" i="1"/>
  <c r="P461" i="1"/>
  <c r="P352" i="1"/>
  <c r="P234" i="1"/>
  <c r="P877" i="1"/>
  <c r="P865" i="1"/>
  <c r="P283" i="1"/>
  <c r="P900" i="1"/>
  <c r="P728" i="1"/>
  <c r="P708" i="1"/>
  <c r="P117" i="1"/>
  <c r="P265" i="1"/>
  <c r="P267" i="1"/>
  <c r="P819" i="1"/>
  <c r="P198" i="1"/>
  <c r="P858" i="1"/>
  <c r="P641" i="1"/>
  <c r="P913" i="1"/>
  <c r="P372" i="1"/>
  <c r="P214" i="1"/>
  <c r="P108" i="1"/>
  <c r="P3" i="1"/>
  <c r="P794" i="1"/>
  <c r="P873" i="1"/>
  <c r="P177" i="1"/>
  <c r="P874" i="1"/>
  <c r="P943" i="1"/>
  <c r="P893" i="1"/>
  <c r="P712" i="1"/>
  <c r="P981" i="1"/>
  <c r="P629" i="1"/>
  <c r="P722" i="1"/>
  <c r="P852" i="1"/>
  <c r="P756" i="1"/>
  <c r="P774" i="1"/>
  <c r="P570" i="1"/>
  <c r="P454" i="1"/>
  <c r="P16" i="1"/>
  <c r="P924" i="1"/>
  <c r="P219" i="1"/>
  <c r="P184" i="1"/>
  <c r="P360" i="1"/>
  <c r="P249" i="1"/>
  <c r="P646" i="1"/>
  <c r="P137" i="1"/>
  <c r="P250" i="1"/>
  <c r="P795" i="1"/>
  <c r="P894" i="1"/>
  <c r="P790" i="1"/>
  <c r="P290" i="1"/>
  <c r="P49" i="1"/>
  <c r="P760" i="1"/>
  <c r="P493" i="1"/>
  <c r="P345" i="1"/>
  <c r="P954" i="1"/>
  <c r="P76" i="1"/>
  <c r="P187" i="1"/>
  <c r="P385" i="1"/>
  <c r="P415" i="1"/>
  <c r="P389" i="1"/>
  <c r="P609" i="1"/>
  <c r="P828" i="1"/>
  <c r="P291" i="1"/>
  <c r="P292" i="1"/>
  <c r="P121" i="1"/>
  <c r="P535" i="1"/>
  <c r="P366" i="1"/>
  <c r="P195" i="1"/>
  <c r="P494" i="1"/>
  <c r="P138" i="1"/>
  <c r="P53" i="1"/>
  <c r="P307" i="1"/>
  <c r="P428" i="1"/>
  <c r="P768" i="1"/>
  <c r="P632" i="1"/>
  <c r="P429" i="1"/>
  <c r="P118" i="1"/>
  <c r="P273" i="1"/>
  <c r="P769" i="1"/>
  <c r="P681" i="1"/>
  <c r="P531" i="1"/>
  <c r="P241" i="1"/>
  <c r="P880" i="1"/>
  <c r="P34" i="1"/>
  <c r="P17" i="1"/>
  <c r="P341" i="1"/>
  <c r="P902" i="1"/>
  <c r="P955" i="1"/>
  <c r="P330" i="1"/>
  <c r="P788" i="1"/>
  <c r="P437" i="1"/>
  <c r="P813" i="1"/>
  <c r="P624" i="1"/>
  <c r="P995" i="1"/>
  <c r="P581" i="1"/>
  <c r="P507" i="1"/>
  <c r="P54" i="1"/>
  <c r="P430" i="1"/>
  <c r="P370" i="1"/>
  <c r="P694" i="1"/>
  <c r="P431" i="1"/>
  <c r="P149" i="1"/>
  <c r="P885" i="1"/>
  <c r="P908" i="1"/>
  <c r="P473" i="1"/>
  <c r="P353" i="1"/>
  <c r="P268" i="1"/>
  <c r="P319" i="1"/>
  <c r="P659" i="1"/>
  <c r="P778" i="1"/>
  <c r="P745" i="1"/>
  <c r="P801" i="1"/>
  <c r="P748" i="1"/>
  <c r="P199" i="1"/>
  <c r="P398" i="1"/>
  <c r="P35" i="1"/>
  <c r="P682" i="1"/>
  <c r="P903" i="1"/>
  <c r="P977" i="1"/>
  <c r="P119" i="1"/>
  <c r="P367" i="1"/>
  <c r="P542" i="1"/>
  <c r="P77" i="1"/>
  <c r="P814" i="1"/>
  <c r="P938" i="1"/>
  <c r="P808" i="1"/>
  <c r="P986" i="1"/>
  <c r="P587" i="1"/>
  <c r="P380" i="1"/>
  <c r="P293" i="1"/>
  <c r="P563" i="1"/>
  <c r="P308" i="1"/>
  <c r="P294" i="1"/>
  <c r="P853" i="1"/>
  <c r="P468" i="1"/>
  <c r="P965" i="1"/>
  <c r="P886" i="1"/>
  <c r="P363" i="1"/>
  <c r="P781" i="1"/>
  <c r="P895" i="1"/>
  <c r="P346" i="1"/>
  <c r="P298" i="1"/>
  <c r="P257" i="1"/>
  <c r="P758" i="1"/>
  <c r="P156" i="1"/>
  <c r="P94" i="1"/>
  <c r="P796" i="1"/>
  <c r="P799" i="1"/>
  <c r="P572" i="1"/>
  <c r="P713" i="1"/>
  <c r="P685" i="1"/>
  <c r="P809" i="1"/>
  <c r="P284" i="1"/>
  <c r="P939" i="1"/>
  <c r="P305" i="1"/>
  <c r="P502" i="1"/>
  <c r="P843" i="1"/>
  <c r="P4" i="1"/>
  <c r="P866" i="1"/>
  <c r="P162" i="1"/>
  <c r="P403" i="1"/>
  <c r="P829" i="1"/>
  <c r="P373" i="1"/>
  <c r="P547" i="1"/>
  <c r="P844" i="1"/>
  <c r="P323" i="1"/>
  <c r="P420" i="1"/>
  <c r="P775" i="1"/>
  <c r="P188" i="1"/>
  <c r="P663" i="1"/>
  <c r="P81" i="1"/>
  <c r="P254" i="1"/>
  <c r="P211" i="1"/>
  <c r="P789" i="1"/>
  <c r="P564" i="1"/>
  <c r="P940" i="1"/>
  <c r="P60" i="1"/>
  <c r="P348" i="1"/>
  <c r="P990" i="1"/>
  <c r="P676" i="1"/>
  <c r="P495" i="1"/>
  <c r="P503" i="1"/>
  <c r="P411" i="1"/>
  <c r="P82" i="1"/>
  <c r="P498" i="1"/>
  <c r="P536" i="1"/>
  <c r="P932" i="1"/>
  <c r="P444" i="1"/>
  <c r="P484" i="1"/>
  <c r="P750" i="1"/>
  <c r="P189" i="1"/>
  <c r="P407" i="1"/>
  <c r="P421" i="1"/>
  <c r="P427" i="1"/>
  <c r="P152" i="1"/>
  <c r="P919" i="1"/>
  <c r="P235" i="1"/>
  <c r="P982" i="1"/>
  <c r="P485" i="1"/>
  <c r="P399" i="1"/>
  <c r="P331" i="1"/>
  <c r="P929" i="1"/>
  <c r="P190" i="1"/>
  <c r="P517" i="1"/>
  <c r="P978" i="1"/>
  <c r="P153" i="1"/>
  <c r="P892" i="1"/>
  <c r="P686" i="1"/>
  <c r="P603" i="1"/>
  <c r="P381" i="1"/>
  <c r="P575" i="1"/>
  <c r="P567" i="1"/>
  <c r="P859" i="1"/>
  <c r="P102" i="1"/>
  <c r="P433" i="1"/>
  <c r="P751" i="1"/>
  <c r="P820" i="1"/>
  <c r="P757" i="1"/>
  <c r="P388" i="1"/>
  <c r="P67" i="1"/>
  <c r="P66" i="1"/>
  <c r="P687" i="1"/>
  <c r="P220" i="1"/>
  <c r="P478" i="1"/>
  <c r="P526" i="1"/>
  <c r="P314" i="1"/>
  <c r="P317" i="1"/>
  <c r="P594" i="1"/>
  <c r="P457" i="1"/>
  <c r="P867" i="1"/>
  <c r="P361" i="1"/>
  <c r="P704" i="1"/>
  <c r="P163" i="1"/>
  <c r="P972" i="1"/>
  <c r="P356" i="1"/>
  <c r="P761" i="1"/>
  <c r="P709" i="1"/>
  <c r="P999" i="1"/>
  <c r="P448" i="1"/>
  <c r="P244" i="1"/>
  <c r="P164" i="1"/>
  <c r="P762" i="1"/>
  <c r="P490" i="1"/>
  <c r="P944" i="1"/>
  <c r="P26" i="1"/>
  <c r="P878" i="1"/>
  <c r="P845" i="1"/>
  <c r="P669" i="1"/>
  <c r="P881" i="1"/>
  <c r="P683" i="1"/>
  <c r="P896" i="1"/>
  <c r="P160" i="1"/>
  <c r="P671" i="1"/>
  <c r="P651" i="1"/>
  <c r="P630" i="1"/>
  <c r="P196" i="1"/>
  <c r="P157" i="1"/>
  <c r="P274" i="1"/>
  <c r="P258" i="1"/>
  <c r="P705" i="1"/>
  <c r="P776" i="1"/>
  <c r="P270" i="1"/>
  <c r="P247" i="1"/>
  <c r="P221" i="1"/>
  <c r="P763" i="1"/>
  <c r="P334" i="1"/>
  <c r="P810" i="1"/>
  <c r="P455" i="1"/>
  <c r="P504" i="1"/>
  <c r="P599" i="1"/>
  <c r="P838" i="1"/>
  <c r="P21" i="1"/>
  <c r="P904" i="1"/>
  <c r="P702" i="1"/>
  <c r="P445" i="1"/>
  <c r="P409" i="1"/>
  <c r="P240" i="1"/>
  <c r="P394" i="1"/>
  <c r="P312" i="1"/>
  <c r="P111" i="1"/>
  <c r="P752" i="1"/>
  <c r="P512" i="1"/>
  <c r="P229" i="1"/>
  <c r="P5" i="1"/>
  <c r="P815" i="1"/>
  <c r="P533" i="1"/>
  <c r="P36" i="1"/>
  <c r="P637" i="1"/>
  <c r="P528" i="1"/>
  <c r="P332" i="1"/>
  <c r="P69" i="1"/>
  <c r="P695" i="1"/>
  <c r="P782" i="1"/>
  <c r="P684" i="1"/>
  <c r="P595" i="1"/>
  <c r="P612" i="1"/>
  <c r="P159" i="1"/>
  <c r="P963" i="1"/>
  <c r="P930" i="1"/>
  <c r="P991" i="1"/>
  <c r="P740" i="1"/>
  <c r="P226" i="1"/>
  <c r="P548" i="1"/>
  <c r="P434" i="1"/>
  <c r="P335" i="1"/>
  <c r="P171" i="1"/>
  <c r="P576" i="1"/>
  <c r="P349" i="1"/>
  <c r="P604" i="1"/>
  <c r="P560" i="1"/>
  <c r="P320" i="1"/>
  <c r="P561" i="1"/>
  <c r="P50" i="1"/>
  <c r="P28" i="1"/>
  <c r="P128" i="1"/>
  <c r="P647" i="1"/>
  <c r="P742" i="1"/>
  <c r="P973" i="1"/>
  <c r="P544" i="1"/>
  <c r="P666" i="1"/>
  <c r="P738" i="1"/>
  <c r="P638" i="1"/>
  <c r="P12" i="1"/>
  <c r="P422" i="1"/>
  <c r="P95" i="1"/>
  <c r="P304" i="1"/>
  <c r="P275" i="1"/>
  <c r="P577" i="1"/>
  <c r="P783" i="1"/>
  <c r="P212" i="1"/>
  <c r="P890" i="1"/>
  <c r="P392" i="1"/>
  <c r="P350" i="1"/>
  <c r="P928" i="1"/>
  <c r="P139" i="1"/>
  <c r="P966" i="1"/>
  <c r="P133" i="1"/>
  <c r="P106" i="1"/>
  <c r="P61" i="1"/>
  <c r="P456" i="1"/>
  <c r="P416" i="1"/>
  <c r="P215" i="1"/>
  <c r="P245" i="1"/>
  <c r="P324" i="1"/>
  <c r="P984" i="1"/>
  <c r="P931" i="1"/>
  <c r="P90" i="1"/>
  <c r="P846" i="1"/>
  <c r="P759" i="1"/>
  <c r="P368" i="1"/>
  <c r="P589" i="1"/>
  <c r="P462" i="1"/>
  <c r="P276" i="1"/>
  <c r="P717" i="1"/>
  <c r="P648" i="1"/>
  <c r="P830" i="1"/>
  <c r="P474" i="1"/>
  <c r="P518" i="1"/>
  <c r="P338" i="1"/>
  <c r="P144" i="1"/>
  <c r="P192" i="1"/>
  <c r="P354" i="1"/>
  <c r="P833" i="1"/>
  <c r="P987" i="1"/>
  <c r="P522" i="1"/>
  <c r="P826" i="1"/>
  <c r="P499" i="1"/>
  <c r="P779" i="1"/>
  <c r="P746" i="1"/>
  <c r="P96" i="1"/>
  <c r="P404" i="1"/>
  <c r="P714" i="1"/>
  <c r="P797" i="1"/>
  <c r="P37" i="1"/>
  <c r="P452" i="1"/>
  <c r="P315" i="1"/>
  <c r="P510" i="1"/>
  <c r="P791" i="1"/>
  <c r="P633" i="1"/>
  <c r="P618" i="1"/>
  <c r="P834" i="1"/>
  <c r="P277" i="1"/>
  <c r="P165" i="1"/>
  <c r="P309" i="1"/>
  <c r="P412" i="1"/>
  <c r="P667" i="1"/>
  <c r="P200" i="1"/>
  <c r="P841" i="1"/>
  <c r="P770" i="1"/>
  <c r="P673" i="1"/>
  <c r="P112" i="1"/>
  <c r="P652" i="1"/>
  <c r="P400" i="1"/>
  <c r="P619" i="1"/>
  <c r="P664" i="1"/>
  <c r="P920" i="1"/>
  <c r="P996" i="1"/>
  <c r="P545" i="1"/>
  <c r="P423" i="1"/>
  <c r="P206" i="1"/>
  <c r="P546" i="1"/>
  <c r="P798" i="1"/>
  <c r="P62" i="1"/>
  <c r="P351" i="1"/>
  <c r="P585" i="1"/>
  <c r="P180" i="1"/>
  <c r="P295" i="1"/>
  <c r="P140" i="1"/>
  <c r="P83" i="1"/>
  <c r="P122" i="1"/>
  <c r="P777" i="1"/>
  <c r="P357" i="1"/>
  <c r="P631" i="1"/>
  <c r="P301" i="1"/>
  <c r="P471" i="1"/>
  <c r="P286" i="1"/>
  <c r="P959" i="1"/>
  <c r="P40" i="1"/>
  <c r="P735" i="1"/>
  <c r="P285" i="1"/>
  <c r="P141" i="1"/>
  <c r="P821" i="1"/>
  <c r="P63" i="1"/>
  <c r="P905" i="1"/>
  <c r="P168" i="1"/>
  <c r="P839" i="1"/>
  <c r="P816" i="1"/>
  <c r="P41" i="1"/>
  <c r="P860" i="1"/>
  <c r="P224" i="1"/>
  <c r="P582" i="1"/>
  <c r="P925" i="1"/>
  <c r="P706" i="1"/>
  <c r="P405" i="1"/>
  <c r="P227" i="1"/>
  <c r="P578" i="1"/>
  <c r="P537" i="1"/>
  <c r="P543" i="1"/>
  <c r="P84" i="1"/>
  <c r="P251" i="1"/>
  <c r="P718" i="1"/>
  <c r="P386" i="1"/>
  <c r="P172" i="1"/>
  <c r="P997" i="1"/>
  <c r="P88" i="1"/>
  <c r="P150" i="1"/>
  <c r="P764" i="1"/>
  <c r="S764" i="1" s="1"/>
  <c r="P710" i="1"/>
  <c r="P58" i="1"/>
  <c r="P539" i="1"/>
  <c r="P747" i="1"/>
  <c r="P242" i="1"/>
  <c r="P674" i="1"/>
  <c r="P723" i="1"/>
  <c r="P916" i="1"/>
  <c r="P325" i="1"/>
  <c r="P22" i="1"/>
  <c r="P374" i="1"/>
  <c r="P481" i="1"/>
  <c r="P897" i="1"/>
  <c r="P851" i="1"/>
  <c r="P579" i="1"/>
  <c r="P230" i="1"/>
  <c r="P600" i="1"/>
  <c r="P288" i="1"/>
  <c r="P729" i="1"/>
  <c r="P51" i="1"/>
  <c r="P438" i="1"/>
  <c r="P413" i="1"/>
  <c r="P302" i="1"/>
  <c r="P513" i="1"/>
  <c r="P804" i="1"/>
  <c r="P278" i="1"/>
  <c r="P358" i="1"/>
  <c r="P784" i="1"/>
  <c r="P469" i="1"/>
  <c r="P505" i="1"/>
  <c r="P992" i="1"/>
  <c r="P123" i="1"/>
  <c r="P55" i="1"/>
  <c r="P13" i="1"/>
  <c r="P945" i="1"/>
  <c r="P565" i="1"/>
  <c r="P446" i="1"/>
  <c r="P59" i="1"/>
  <c r="P303" i="1"/>
  <c r="P840" i="1"/>
  <c r="P620" i="1"/>
  <c r="P465" i="1"/>
  <c r="P107" i="1"/>
  <c r="P677" i="1"/>
  <c r="P670" i="1"/>
  <c r="P719" i="1"/>
  <c r="P382" i="1"/>
  <c r="P731" i="1"/>
  <c r="P271" i="1"/>
  <c r="P621" i="1"/>
  <c r="P124" i="1"/>
  <c r="P811" i="1"/>
  <c r="P97" i="1"/>
  <c r="P861" i="1"/>
  <c r="P665" i="1"/>
  <c r="P642" i="1"/>
  <c r="P508" i="1"/>
  <c r="P727" i="1"/>
  <c r="P643" i="1"/>
  <c r="P653" i="1"/>
  <c r="P711" i="1"/>
  <c r="P974" i="1"/>
  <c r="P926" i="1"/>
  <c r="P194" i="1"/>
  <c r="P486" i="1"/>
  <c r="P7" i="1"/>
  <c r="P384" i="1"/>
  <c r="P435" i="1"/>
  <c r="P887" i="1"/>
  <c r="P393" i="1"/>
  <c r="P785" i="1"/>
  <c r="P417" i="1"/>
  <c r="S417" i="1" s="1"/>
  <c r="P523" i="1"/>
  <c r="P207" i="1"/>
  <c r="P822" i="1"/>
  <c r="P933" i="1"/>
  <c r="P379" i="1"/>
  <c r="P511" i="1"/>
  <c r="S511" i="1" s="1"/>
  <c r="P786" i="1"/>
  <c r="P181" i="1"/>
  <c r="P538" i="1"/>
  <c r="P792" i="1"/>
  <c r="P868" i="1"/>
  <c r="P812" i="1"/>
  <c r="P934" i="1"/>
  <c r="P38" i="1"/>
  <c r="P185" i="1"/>
  <c r="P912" i="1"/>
  <c r="P613" i="1"/>
  <c r="P418" i="1"/>
  <c r="P540" i="1"/>
  <c r="P158" i="1"/>
  <c r="P692" i="1"/>
  <c r="P173" i="1"/>
  <c r="P202" i="1"/>
  <c r="P401" i="1"/>
  <c r="P946" i="1"/>
  <c r="P191" i="1"/>
  <c r="P835" i="1"/>
  <c r="S835" i="1" s="1"/>
  <c r="P660" i="1"/>
  <c r="P1000" i="1"/>
  <c r="P906" i="1"/>
  <c r="P300" i="1"/>
  <c r="P614" i="1"/>
  <c r="P847" i="1"/>
  <c r="P588" i="1"/>
  <c r="P654" i="1"/>
  <c r="P691" i="1"/>
  <c r="P698" i="1"/>
  <c r="P18" i="1"/>
  <c r="P696" i="1"/>
  <c r="P161" i="1"/>
  <c r="P151" i="1"/>
  <c r="P580" i="1"/>
  <c r="P487" i="1"/>
  <c r="P29" i="1"/>
  <c r="P280" i="1"/>
  <c r="P70" i="1"/>
  <c r="P655" i="1"/>
  <c r="P182" i="1"/>
  <c r="P491" i="1"/>
  <c r="P922" i="1"/>
  <c r="P186" i="1"/>
  <c r="P390" i="1"/>
  <c r="P583" i="1"/>
  <c r="P8" i="1"/>
  <c r="P440" i="1"/>
  <c r="P622" i="1"/>
  <c r="P720" i="1"/>
  <c r="P336" i="1"/>
  <c r="P252" i="1"/>
  <c r="P901" i="1"/>
  <c r="P197" i="1"/>
  <c r="P970" i="1"/>
  <c r="P279" i="1"/>
  <c r="P715" i="1"/>
  <c r="P296" i="1"/>
  <c r="P882" i="1"/>
  <c r="P342" i="1"/>
  <c r="P98" i="1"/>
  <c r="P375" i="1"/>
  <c r="P529" i="1"/>
  <c r="P615" i="1"/>
  <c r="P909" i="1"/>
  <c r="P466" i="1"/>
  <c r="P30" i="1"/>
  <c r="P129" i="1"/>
  <c r="P85" i="1"/>
  <c r="P697" i="1"/>
  <c r="P616" i="1"/>
  <c r="P344" i="1"/>
  <c r="P120" i="1"/>
  <c r="P898" i="1"/>
  <c r="P678" i="1"/>
  <c r="P482" i="1"/>
  <c r="P255" i="1"/>
  <c r="P113" i="1"/>
  <c r="P854" i="1"/>
  <c r="P483" i="1"/>
  <c r="P749" i="1"/>
  <c r="P228" i="1"/>
  <c r="P318" i="1"/>
  <c r="P130" i="1"/>
  <c r="P805" i="1"/>
  <c r="P605" i="1"/>
  <c r="P862" i="1"/>
  <c r="P947" i="1"/>
  <c r="P321" i="1"/>
  <c r="P509" i="1"/>
  <c r="P883" i="1"/>
  <c r="P167" i="1"/>
  <c r="P131" i="1"/>
  <c r="P960" i="1"/>
  <c r="P132" i="1"/>
  <c r="P941" i="1"/>
  <c r="P649" i="1"/>
  <c r="P771" i="1"/>
  <c r="P699" i="1"/>
  <c r="P584" i="1"/>
  <c r="P395" i="1"/>
  <c r="P918" i="1"/>
  <c r="P463" i="1"/>
  <c r="P259" i="1"/>
  <c r="P956" i="1"/>
  <c r="S956" i="1" s="1"/>
  <c r="P174" i="1"/>
  <c r="P175" i="1"/>
  <c r="P818" i="1"/>
  <c r="P464" i="1"/>
  <c r="P721" i="1"/>
  <c r="P988" i="1"/>
  <c r="P142" i="1"/>
  <c r="P937" i="1"/>
  <c r="P500" i="1"/>
  <c r="P467" i="1"/>
  <c r="P967" i="1"/>
  <c r="P519" i="1"/>
  <c r="P425" i="1"/>
  <c r="P514" i="1"/>
  <c r="P23" i="1"/>
  <c r="P364" i="1"/>
  <c r="P639" i="1"/>
  <c r="P143" i="1"/>
  <c r="P848" i="1"/>
  <c r="P672" i="1"/>
  <c r="P101" i="1"/>
  <c r="P78" i="1"/>
  <c r="P441" i="1"/>
  <c r="P989" i="1"/>
  <c r="S989" i="1" s="1"/>
  <c r="P436" i="1"/>
  <c r="P125" i="1"/>
  <c r="P231" i="1"/>
  <c r="P968" i="1"/>
  <c r="P689" i="1"/>
  <c r="P555" i="1"/>
  <c r="P217" i="1"/>
  <c r="P42" i="1"/>
  <c r="P793" i="1"/>
  <c r="P606" i="1"/>
  <c r="P48" i="1"/>
  <c r="P145" i="1"/>
  <c r="P426" i="1"/>
  <c r="P316" i="1"/>
  <c r="P634" i="1"/>
  <c r="P64" i="1"/>
  <c r="P979" i="1"/>
  <c r="P601" i="1"/>
  <c r="P961" i="1"/>
  <c r="P515" i="1"/>
  <c r="P935" i="1"/>
  <c r="P998" i="1"/>
  <c r="P450" i="1"/>
  <c r="P891" i="1"/>
  <c r="P209" i="1"/>
  <c r="P635" i="1"/>
  <c r="P607" i="1"/>
  <c r="P869" i="1"/>
  <c r="P178" i="1"/>
  <c r="P917" i="1"/>
  <c r="P596" i="1"/>
  <c r="P114" i="1"/>
  <c r="P739" i="1"/>
  <c r="P532" i="1"/>
  <c r="P952" i="1"/>
  <c r="P656" i="1"/>
  <c r="P888" i="1"/>
  <c r="P590" i="1"/>
  <c r="P520" i="1"/>
  <c r="P65" i="1"/>
  <c r="P43" i="1"/>
  <c r="P524" i="1"/>
  <c r="P73" i="1"/>
  <c r="P337" i="1"/>
  <c r="P566" i="1"/>
  <c r="P825" i="1"/>
  <c r="P724" i="1"/>
  <c r="P521" i="1"/>
  <c r="P479" i="1"/>
  <c r="P753" i="1"/>
  <c r="P552" i="1"/>
  <c r="P453" i="1"/>
  <c r="P679" i="1"/>
  <c r="P623" i="1"/>
  <c r="P24" i="1"/>
  <c r="P99" i="1"/>
  <c r="P104" i="1"/>
  <c r="P369" i="1"/>
  <c r="P222" i="1"/>
  <c r="P169" i="1"/>
  <c r="P89" i="1"/>
  <c r="P617" i="1"/>
  <c r="P754" i="1"/>
  <c r="P14" i="1"/>
  <c r="P281" i="1"/>
  <c r="P126" i="1"/>
  <c r="P725" i="1"/>
  <c r="P755" i="1"/>
  <c r="P432" i="1"/>
  <c r="P213" i="1"/>
  <c r="P765" i="1"/>
  <c r="P355" i="1"/>
  <c r="P480" i="1"/>
  <c r="P236" i="1"/>
  <c r="P74" i="1"/>
  <c r="P91" i="1"/>
  <c r="P530" i="1"/>
  <c r="P921" i="1"/>
  <c r="P644" i="1"/>
  <c r="P260" i="1"/>
  <c r="P72" i="1"/>
  <c r="P817" i="1"/>
  <c r="P971" i="1"/>
  <c r="P237" i="1"/>
  <c r="P700" i="1"/>
  <c r="P396" i="1"/>
  <c r="P688" i="1"/>
  <c r="P170" i="1"/>
  <c r="P56" i="1"/>
  <c r="P449" i="1"/>
  <c r="P451" i="1"/>
  <c r="P875" i="1"/>
  <c r="P743" i="1"/>
  <c r="P741" i="1"/>
  <c r="P44" i="1"/>
  <c r="P732" i="1"/>
  <c r="P726" i="1"/>
  <c r="P558" i="1"/>
  <c r="P92" i="1"/>
  <c r="P203" i="1"/>
  <c r="P179" i="1"/>
  <c r="P391" i="1"/>
  <c r="P262" i="1"/>
  <c r="P831" i="1"/>
  <c r="P27" i="1"/>
  <c r="P223" i="1"/>
  <c r="P93" i="1"/>
  <c r="P476" i="1"/>
  <c r="P154" i="1"/>
  <c r="P541" i="1"/>
  <c r="P948" i="1"/>
  <c r="P501" i="1"/>
  <c r="P79" i="1"/>
  <c r="P855" i="1"/>
  <c r="P146" i="1"/>
  <c r="P57" i="1"/>
  <c r="P419" i="1"/>
  <c r="P597" i="1"/>
  <c r="P556" i="1"/>
  <c r="P730" i="1"/>
  <c r="P645" i="1"/>
  <c r="P927" i="1"/>
  <c r="P625" i="1"/>
  <c r="P31" i="1"/>
  <c r="P458" i="1"/>
  <c r="P870" i="1"/>
  <c r="P573" i="1"/>
  <c r="P326" i="1"/>
  <c r="P936" i="1"/>
  <c r="P204" i="1"/>
  <c r="P193" i="1"/>
  <c r="P554" i="1"/>
  <c r="P562" i="1"/>
  <c r="P205" i="1"/>
  <c r="P737" i="1"/>
  <c r="P733" i="1"/>
  <c r="P876" i="1"/>
  <c r="P923" i="1"/>
  <c r="P1001" i="1"/>
  <c r="P269" i="1"/>
  <c r="P459" i="1"/>
  <c r="P103" i="1"/>
  <c r="P39" i="1"/>
  <c r="P806" i="1"/>
  <c r="P586" i="1"/>
  <c r="P772" i="1"/>
  <c r="P287" i="1"/>
  <c r="P716" i="1"/>
  <c r="P574" i="1"/>
  <c r="P496" i="1"/>
  <c r="P248" i="1"/>
  <c r="P134" i="1"/>
  <c r="P216" i="1"/>
  <c r="P147" i="1"/>
  <c r="P442" i="1"/>
  <c r="P225" i="1"/>
  <c r="P836" i="1"/>
  <c r="P243" i="1"/>
  <c r="P261" i="1"/>
  <c r="P402" i="1"/>
  <c r="P447" i="1"/>
  <c r="P549" i="1"/>
  <c r="P657" i="1"/>
  <c r="P957" i="1"/>
  <c r="P6" i="1"/>
  <c r="P610" i="1"/>
  <c r="S610" i="1" s="1"/>
  <c r="P773" i="1"/>
  <c r="P636" i="1"/>
  <c r="P218" i="1"/>
  <c r="P322" i="1"/>
  <c r="P424" i="1"/>
  <c r="P289" i="1"/>
  <c r="P527" i="1"/>
  <c r="P460" i="1"/>
  <c r="P975" i="1"/>
  <c r="P256" i="1"/>
  <c r="P477" i="1"/>
  <c r="P339" i="1"/>
  <c r="P387" i="1"/>
  <c r="P299" i="1"/>
  <c r="P823" i="1"/>
  <c r="P980" i="1"/>
  <c r="P856" i="1"/>
  <c r="P343" i="1"/>
  <c r="P32" i="1"/>
  <c r="P701" i="1"/>
  <c r="P208" i="1"/>
  <c r="P976" i="1"/>
  <c r="P602" i="1"/>
  <c r="P135" i="1"/>
  <c r="P553" i="1"/>
  <c r="P707" i="1"/>
  <c r="P899" i="1"/>
  <c r="P492" i="1"/>
  <c r="P942" i="1"/>
  <c r="P863" i="1"/>
  <c r="P238" i="1"/>
  <c r="P864" i="1"/>
  <c r="P310" i="1"/>
  <c r="P680" i="1"/>
  <c r="P25" i="1"/>
  <c r="P239" i="1"/>
  <c r="P559" i="1"/>
  <c r="P849" i="1"/>
  <c r="P75" i="1"/>
  <c r="P9" i="1"/>
  <c r="P347" i="1"/>
  <c r="P800" i="1"/>
  <c r="P516" i="1"/>
  <c r="P985" i="1"/>
  <c r="P52" i="1"/>
  <c r="P45" i="1"/>
  <c r="P246" i="1"/>
  <c r="P46" i="1"/>
  <c r="P86" i="1"/>
  <c r="P807" i="1"/>
  <c r="P661" i="1"/>
  <c r="P340" i="1"/>
  <c r="P397" i="1"/>
  <c r="P166" i="1"/>
  <c r="P650" i="1"/>
  <c r="P969" i="1"/>
  <c r="P475" i="1"/>
  <c r="P593" i="1"/>
  <c r="P333" i="1"/>
  <c r="P832" i="1"/>
  <c r="P506" i="1"/>
  <c r="P766" i="1"/>
  <c r="P827" i="1"/>
  <c r="P803" i="1"/>
  <c r="P232" i="1"/>
  <c r="P568" i="1"/>
  <c r="P408" i="1"/>
  <c r="P115" i="1"/>
  <c r="P953" i="1"/>
  <c r="P842" i="1"/>
  <c r="P983" i="1"/>
  <c r="P176" i="1"/>
  <c r="P359" i="1"/>
  <c r="P550" i="1"/>
  <c r="P662" i="1"/>
  <c r="P109" i="1"/>
  <c r="P263" i="1"/>
  <c r="P557" i="1"/>
  <c r="P958" i="1"/>
  <c r="P910" i="1"/>
  <c r="P824" i="1"/>
  <c r="P951" i="1"/>
  <c r="P571" i="1"/>
  <c r="P439" i="1"/>
  <c r="P80" i="1"/>
  <c r="P787" i="1"/>
  <c r="P15" i="1"/>
  <c r="P592" i="1"/>
  <c r="P993" i="1"/>
  <c r="P71" i="1"/>
  <c r="P414" i="1"/>
  <c r="P155" i="1"/>
  <c r="P488" i="1"/>
  <c r="P272" i="1"/>
  <c r="P297" i="1"/>
  <c r="P675" i="1"/>
  <c r="P327" i="1"/>
  <c r="P962" i="1"/>
  <c r="P626" i="1"/>
  <c r="S556" i="1" l="1"/>
  <c r="S892" i="1"/>
  <c r="S483" i="1"/>
  <c r="S938" i="1"/>
  <c r="S858" i="1"/>
  <c r="S463" i="1"/>
  <c r="S788" i="1"/>
  <c r="S360" i="1"/>
  <c r="S730" i="1"/>
  <c r="S338" i="1"/>
  <c r="S980" i="1"/>
  <c r="S723" i="1"/>
  <c r="S307" i="1"/>
  <c r="S972" i="1"/>
  <c r="S637" i="1"/>
  <c r="S279" i="1"/>
  <c r="S940" i="1"/>
  <c r="S584" i="1"/>
  <c r="S186" i="1"/>
  <c r="S995" i="1"/>
  <c r="S970" i="1"/>
  <c r="S916" i="1"/>
  <c r="S851" i="1"/>
  <c r="S770" i="1"/>
  <c r="S706" i="1"/>
  <c r="S629" i="1"/>
  <c r="S537" i="1"/>
  <c r="S418" i="1"/>
  <c r="S328" i="1"/>
  <c r="S915" i="1"/>
  <c r="S684" i="1"/>
  <c r="S988" i="1"/>
  <c r="S955" i="1"/>
  <c r="S899" i="1"/>
  <c r="S834" i="1"/>
  <c r="S748" i="1"/>
  <c r="S683" i="1"/>
  <c r="S609" i="1"/>
  <c r="S509" i="1"/>
  <c r="S391" i="1"/>
  <c r="S306" i="1"/>
  <c r="S981" i="1"/>
  <c r="S954" i="1"/>
  <c r="S898" i="1"/>
  <c r="S828" i="1"/>
  <c r="S746" i="1"/>
  <c r="S682" i="1"/>
  <c r="S591" i="1"/>
  <c r="S491" i="1"/>
  <c r="S368" i="1"/>
  <c r="S304" i="1"/>
  <c r="S812" i="1"/>
  <c r="S979" i="1"/>
  <c r="S939" i="1"/>
  <c r="S876" i="1"/>
  <c r="S794" i="1"/>
  <c r="S724" i="1"/>
  <c r="S657" i="1"/>
  <c r="S564" i="1"/>
  <c r="S465" i="1"/>
  <c r="S359" i="1"/>
  <c r="S267" i="1"/>
  <c r="S664" i="1"/>
  <c r="S996" i="1"/>
  <c r="S971" i="1"/>
  <c r="S922" i="1"/>
  <c r="S852" i="1"/>
  <c r="S771" i="1"/>
  <c r="S707" i="1"/>
  <c r="S636" i="1"/>
  <c r="S538" i="1"/>
  <c r="S436" i="1"/>
  <c r="S336" i="1"/>
  <c r="S2" i="1"/>
  <c r="R983" i="1"/>
  <c r="S983" i="1"/>
  <c r="R823" i="1"/>
  <c r="S823" i="1"/>
  <c r="R459" i="1"/>
  <c r="S459" i="1"/>
  <c r="R179" i="1"/>
  <c r="S179" i="1"/>
  <c r="R89" i="1"/>
  <c r="S89" i="1"/>
  <c r="R935" i="1"/>
  <c r="S935" i="1"/>
  <c r="R721" i="1"/>
  <c r="S721" i="1"/>
  <c r="R113" i="1"/>
  <c r="S113" i="1"/>
  <c r="R280" i="1"/>
  <c r="S280" i="1"/>
  <c r="R379" i="1"/>
  <c r="S379" i="1"/>
  <c r="R446" i="1"/>
  <c r="S446" i="1"/>
  <c r="R242" i="1"/>
  <c r="S242" i="1"/>
  <c r="R357" i="1"/>
  <c r="S357" i="1"/>
  <c r="R618" i="1"/>
  <c r="S618" i="1"/>
  <c r="R846" i="1"/>
  <c r="S846" i="1"/>
  <c r="R349" i="1"/>
  <c r="S349" i="1"/>
  <c r="R455" i="1"/>
  <c r="S455" i="1"/>
  <c r="R761" i="1"/>
  <c r="S761" i="1"/>
  <c r="R919" i="1"/>
  <c r="S919" i="1"/>
  <c r="R254" i="1"/>
  <c r="S254" i="1"/>
  <c r="R502" i="1"/>
  <c r="S502" i="1"/>
  <c r="R895" i="1"/>
  <c r="S895" i="1"/>
  <c r="R35" i="1"/>
  <c r="S35" i="1"/>
  <c r="R813" i="1"/>
  <c r="S813" i="1"/>
  <c r="R827" i="1"/>
  <c r="S827" i="1"/>
  <c r="R6" i="1"/>
  <c r="S6" i="1"/>
  <c r="R458" i="1"/>
  <c r="S458" i="1"/>
  <c r="R700" i="1"/>
  <c r="S700" i="1"/>
  <c r="R178" i="1"/>
  <c r="S178" i="1"/>
  <c r="R425" i="1"/>
  <c r="S425" i="1"/>
  <c r="R375" i="1"/>
  <c r="S375" i="1"/>
  <c r="R1000" i="1"/>
  <c r="S1000" i="1"/>
  <c r="R711" i="1"/>
  <c r="S711" i="1"/>
  <c r="R438" i="1"/>
  <c r="S438" i="1"/>
  <c r="R41" i="1"/>
  <c r="S41" i="1"/>
  <c r="R714" i="1"/>
  <c r="S714" i="1"/>
  <c r="R392" i="1"/>
  <c r="S392" i="1"/>
  <c r="R695" i="1"/>
  <c r="S695" i="1"/>
  <c r="R705" i="1"/>
  <c r="S705" i="1"/>
  <c r="R67" i="1"/>
  <c r="S67" i="1"/>
  <c r="R444" i="1"/>
  <c r="S444" i="1"/>
  <c r="R547" i="1"/>
  <c r="S547" i="1"/>
  <c r="R799" i="1"/>
  <c r="S799" i="1"/>
  <c r="R958" i="1"/>
  <c r="S958" i="1"/>
  <c r="R75" i="1"/>
  <c r="S75" i="1"/>
  <c r="R602" i="1"/>
  <c r="S602" i="1"/>
  <c r="R574" i="1"/>
  <c r="S574" i="1"/>
  <c r="R154" i="1"/>
  <c r="S154" i="1"/>
  <c r="R432" i="1"/>
  <c r="S432" i="1"/>
  <c r="R566" i="1"/>
  <c r="S566" i="1"/>
  <c r="R101" i="1"/>
  <c r="S101" i="1"/>
  <c r="R605" i="1"/>
  <c r="S605" i="1"/>
  <c r="R583" i="1"/>
  <c r="S583" i="1"/>
  <c r="R692" i="1"/>
  <c r="S692" i="1"/>
  <c r="R670" i="1"/>
  <c r="S670" i="1"/>
  <c r="R997" i="1"/>
  <c r="S997" i="1"/>
  <c r="R351" i="1"/>
  <c r="S351" i="1"/>
  <c r="R987" i="1"/>
  <c r="S987" i="1"/>
  <c r="R422" i="1"/>
  <c r="S422" i="1"/>
  <c r="R5" i="1"/>
  <c r="S5" i="1"/>
  <c r="R944" i="1"/>
  <c r="S944" i="1"/>
  <c r="R567" i="1"/>
  <c r="S567" i="1"/>
  <c r="R676" i="1"/>
  <c r="S676" i="1"/>
  <c r="R319" i="1"/>
  <c r="S319" i="1"/>
  <c r="R15" i="1"/>
  <c r="S15" i="1"/>
  <c r="R650" i="1"/>
  <c r="S650" i="1"/>
  <c r="R238" i="1"/>
  <c r="S238" i="1"/>
  <c r="R836" i="1"/>
  <c r="S836" i="1"/>
  <c r="R419" i="1"/>
  <c r="S419" i="1"/>
  <c r="R530" i="1"/>
  <c r="S530" i="1"/>
  <c r="R888" i="1"/>
  <c r="S888" i="1"/>
  <c r="R689" i="1"/>
  <c r="S689" i="1"/>
  <c r="R960" i="1"/>
  <c r="S960" i="1"/>
  <c r="R197" i="1"/>
  <c r="S197" i="1"/>
  <c r="R934" i="1"/>
  <c r="S934" i="1"/>
  <c r="R97" i="1"/>
  <c r="S97" i="1"/>
  <c r="R897" i="1"/>
  <c r="S897" i="1"/>
  <c r="R285" i="1"/>
  <c r="S285" i="1"/>
  <c r="R841" i="1"/>
  <c r="S841" i="1"/>
  <c r="R456" i="1"/>
  <c r="S456" i="1"/>
  <c r="R647" i="1"/>
  <c r="S647" i="1"/>
  <c r="R409" i="1"/>
  <c r="S409" i="1"/>
  <c r="R594" i="1"/>
  <c r="S594" i="1"/>
  <c r="R308" i="1"/>
  <c r="S308" i="1"/>
  <c r="R297" i="1"/>
  <c r="S297" i="1"/>
  <c r="R246" i="1"/>
  <c r="S246" i="1"/>
  <c r="R527" i="1"/>
  <c r="S527" i="1"/>
  <c r="R562" i="1"/>
  <c r="S562" i="1"/>
  <c r="R743" i="1"/>
  <c r="S743" i="1"/>
  <c r="R679" i="1"/>
  <c r="S679" i="1"/>
  <c r="R426" i="1"/>
  <c r="S426" i="1"/>
  <c r="R918" i="1"/>
  <c r="S918" i="1"/>
  <c r="R697" i="1"/>
  <c r="S697" i="1"/>
  <c r="R698" i="1"/>
  <c r="S698" i="1"/>
  <c r="R887" i="1"/>
  <c r="S887" i="1"/>
  <c r="R469" i="1"/>
  <c r="S469" i="1"/>
  <c r="R578" i="1"/>
  <c r="S578" i="1"/>
  <c r="R920" i="1"/>
  <c r="S920" i="1"/>
  <c r="R830" i="1"/>
  <c r="S830" i="1"/>
  <c r="R991" i="1"/>
  <c r="S991" i="1"/>
  <c r="R160" i="1"/>
  <c r="S160" i="1"/>
  <c r="R517" i="1"/>
  <c r="S517" i="1"/>
  <c r="R814" i="1"/>
  <c r="S814" i="1"/>
  <c r="R863" i="1"/>
  <c r="S863" i="1"/>
  <c r="R237" i="1"/>
  <c r="S237" i="1"/>
  <c r="R145" i="1"/>
  <c r="S145" i="1"/>
  <c r="R395" i="1"/>
  <c r="S395" i="1"/>
  <c r="R98" i="1"/>
  <c r="S98" i="1"/>
  <c r="R677" i="1"/>
  <c r="S677" i="1"/>
  <c r="R51" i="1"/>
  <c r="S51" i="1"/>
  <c r="R576" i="1"/>
  <c r="S576" i="1"/>
  <c r="R229" i="1"/>
  <c r="S229" i="1"/>
  <c r="R258" i="1"/>
  <c r="S258" i="1"/>
  <c r="R356" i="1"/>
  <c r="S356" i="1"/>
  <c r="R190" i="1"/>
  <c r="S190" i="1"/>
  <c r="R77" i="1"/>
  <c r="S77" i="1"/>
  <c r="R880" i="1"/>
  <c r="S880" i="1"/>
  <c r="R372" i="1"/>
  <c r="S372" i="1"/>
  <c r="S875" i="1"/>
  <c r="S747" i="1"/>
  <c r="S268" i="1"/>
  <c r="R263" i="1"/>
  <c r="S263" i="1"/>
  <c r="R559" i="1"/>
  <c r="S559" i="1"/>
  <c r="R424" i="1"/>
  <c r="S424" i="1"/>
  <c r="R193" i="1"/>
  <c r="S193" i="1"/>
  <c r="R92" i="1"/>
  <c r="S92" i="1"/>
  <c r="R222" i="1"/>
  <c r="S222" i="1"/>
  <c r="R607" i="1"/>
  <c r="S607" i="1"/>
  <c r="R848" i="1"/>
  <c r="S848" i="1"/>
  <c r="R167" i="1"/>
  <c r="S167" i="1"/>
  <c r="R342" i="1"/>
  <c r="S342" i="1"/>
  <c r="R487" i="1"/>
  <c r="S487" i="1"/>
  <c r="R822" i="1"/>
  <c r="S822" i="1"/>
  <c r="R124" i="1"/>
  <c r="S124" i="1"/>
  <c r="R729" i="1"/>
  <c r="S729" i="1"/>
  <c r="R405" i="1"/>
  <c r="S405" i="1"/>
  <c r="R798" i="1"/>
  <c r="S798" i="1"/>
  <c r="R96" i="1"/>
  <c r="S96" i="1"/>
  <c r="R28" i="1"/>
  <c r="S28" i="1"/>
  <c r="R663" i="1"/>
  <c r="S663" i="1"/>
  <c r="R542" i="1"/>
  <c r="S542" i="1"/>
  <c r="R241" i="1"/>
  <c r="S241" i="1"/>
  <c r="R461" i="1"/>
  <c r="S461" i="1"/>
  <c r="R551" i="1"/>
  <c r="S551" i="1"/>
  <c r="R736" i="1"/>
  <c r="S736" i="1"/>
  <c r="S656" i="1"/>
  <c r="R155" i="1"/>
  <c r="S155" i="1"/>
  <c r="R439" i="1"/>
  <c r="S439" i="1"/>
  <c r="R109" i="1"/>
  <c r="S109" i="1"/>
  <c r="R115" i="1"/>
  <c r="S115" i="1"/>
  <c r="R832" i="1"/>
  <c r="S832" i="1"/>
  <c r="R340" i="1"/>
  <c r="S340" i="1"/>
  <c r="R239" i="1"/>
  <c r="S239" i="1"/>
  <c r="R701" i="1"/>
  <c r="S701" i="1"/>
  <c r="R322" i="1"/>
  <c r="S322" i="1"/>
  <c r="R549" i="1"/>
  <c r="S549" i="1"/>
  <c r="R147" i="1"/>
  <c r="S147" i="1"/>
  <c r="R204" i="1"/>
  <c r="S204" i="1"/>
  <c r="R927" i="1"/>
  <c r="S927" i="1"/>
  <c r="R855" i="1"/>
  <c r="S855" i="1"/>
  <c r="R223" i="1"/>
  <c r="S223" i="1"/>
  <c r="R558" i="1"/>
  <c r="S558" i="1"/>
  <c r="R449" i="1"/>
  <c r="S449" i="1"/>
  <c r="R817" i="1"/>
  <c r="S817" i="1"/>
  <c r="R236" i="1"/>
  <c r="S236" i="1"/>
  <c r="R126" i="1"/>
  <c r="S126" i="1"/>
  <c r="R369" i="1"/>
  <c r="S369" i="1"/>
  <c r="R753" i="1"/>
  <c r="S753" i="1"/>
  <c r="R524" i="1"/>
  <c r="S524" i="1"/>
  <c r="R532" i="1"/>
  <c r="S532" i="1"/>
  <c r="R635" i="1"/>
  <c r="S635" i="1"/>
  <c r="R606" i="1"/>
  <c r="S606" i="1"/>
  <c r="R125" i="1"/>
  <c r="S125" i="1"/>
  <c r="R143" i="1"/>
  <c r="S143" i="1"/>
  <c r="R467" i="1"/>
  <c r="S467" i="1"/>
  <c r="R175" i="1"/>
  <c r="S175" i="1"/>
  <c r="R318" i="1"/>
  <c r="S318" i="1"/>
  <c r="R678" i="1"/>
  <c r="S678" i="1"/>
  <c r="R30" i="1"/>
  <c r="S30" i="1"/>
  <c r="R580" i="1"/>
  <c r="S580" i="1"/>
  <c r="R588" i="1"/>
  <c r="S588" i="1"/>
  <c r="R191" i="1"/>
  <c r="S191" i="1"/>
  <c r="R792" i="1"/>
  <c r="S792" i="1"/>
  <c r="R207" i="1"/>
  <c r="S207" i="1"/>
  <c r="R7" i="1"/>
  <c r="S7" i="1"/>
  <c r="R727" i="1"/>
  <c r="S727" i="1"/>
  <c r="R621" i="1"/>
  <c r="S621" i="1"/>
  <c r="R13" i="1"/>
  <c r="S13" i="1"/>
  <c r="R278" i="1"/>
  <c r="S278" i="1"/>
  <c r="R288" i="1"/>
  <c r="S288" i="1"/>
  <c r="R22" i="1"/>
  <c r="S22" i="1"/>
  <c r="R718" i="1"/>
  <c r="S718" i="1"/>
  <c r="R168" i="1"/>
  <c r="S168" i="1"/>
  <c r="R959" i="1"/>
  <c r="S959" i="1"/>
  <c r="R83" i="1"/>
  <c r="S83" i="1"/>
  <c r="R412" i="1"/>
  <c r="S412" i="1"/>
  <c r="R510" i="1"/>
  <c r="S510" i="1"/>
  <c r="R192" i="1"/>
  <c r="S192" i="1"/>
  <c r="R276" i="1"/>
  <c r="S276" i="1"/>
  <c r="R133" i="1"/>
  <c r="S133" i="1"/>
  <c r="R783" i="1"/>
  <c r="S783" i="1"/>
  <c r="R335" i="1"/>
  <c r="S335" i="1"/>
  <c r="R159" i="1"/>
  <c r="S159" i="1"/>
  <c r="R752" i="1"/>
  <c r="S752" i="1"/>
  <c r="R904" i="1"/>
  <c r="S904" i="1"/>
  <c r="R157" i="1"/>
  <c r="S157" i="1"/>
  <c r="R881" i="1"/>
  <c r="S881" i="1"/>
  <c r="R164" i="1"/>
  <c r="S164" i="1"/>
  <c r="R163" i="1"/>
  <c r="S163" i="1"/>
  <c r="R526" i="1"/>
  <c r="S526" i="1"/>
  <c r="R603" i="1"/>
  <c r="S603" i="1"/>
  <c r="R331" i="1"/>
  <c r="S331" i="1"/>
  <c r="R421" i="1"/>
  <c r="S421" i="1"/>
  <c r="R498" i="1"/>
  <c r="S498" i="1"/>
  <c r="R60" i="1"/>
  <c r="S60" i="1"/>
  <c r="R188" i="1"/>
  <c r="S188" i="1"/>
  <c r="R403" i="1"/>
  <c r="S403" i="1"/>
  <c r="R284" i="1"/>
  <c r="S284" i="1"/>
  <c r="R156" i="1"/>
  <c r="S156" i="1"/>
  <c r="R886" i="1"/>
  <c r="S886" i="1"/>
  <c r="R367" i="1"/>
  <c r="S367" i="1"/>
  <c r="R54" i="1"/>
  <c r="S54" i="1"/>
  <c r="R330" i="1"/>
  <c r="S330" i="1"/>
  <c r="R531" i="1"/>
  <c r="S531" i="1"/>
  <c r="R121" i="1"/>
  <c r="S121" i="1"/>
  <c r="R187" i="1"/>
  <c r="S187" i="1"/>
  <c r="R790" i="1"/>
  <c r="S790" i="1"/>
  <c r="R184" i="1"/>
  <c r="S184" i="1"/>
  <c r="R177" i="1"/>
  <c r="S177" i="1"/>
  <c r="R641" i="1"/>
  <c r="S641" i="1"/>
  <c r="R728" i="1"/>
  <c r="S728" i="1"/>
  <c r="R47" i="1"/>
  <c r="S47" i="1"/>
  <c r="R911" i="1"/>
  <c r="S911" i="1"/>
  <c r="R210" i="1"/>
  <c r="S210" i="1"/>
  <c r="R100" i="1"/>
  <c r="S100" i="1"/>
  <c r="R857" i="1"/>
  <c r="S857" i="1"/>
  <c r="R406" i="1"/>
  <c r="S406" i="1"/>
  <c r="R497" i="1"/>
  <c r="S497" i="1"/>
  <c r="S105" i="1"/>
  <c r="S994" i="1"/>
  <c r="S986" i="1"/>
  <c r="S978" i="1"/>
  <c r="S968" i="1"/>
  <c r="S952" i="1"/>
  <c r="S932" i="1"/>
  <c r="S914" i="1"/>
  <c r="S891" i="1"/>
  <c r="S868" i="1"/>
  <c r="S850" i="1"/>
  <c r="S804" i="1"/>
  <c r="S786" i="1"/>
  <c r="S763" i="1"/>
  <c r="S740" i="1"/>
  <c r="S722" i="1"/>
  <c r="S699" i="1"/>
  <c r="S675" i="1"/>
  <c r="S655" i="1"/>
  <c r="S628" i="1"/>
  <c r="S581" i="1"/>
  <c r="S555" i="1"/>
  <c r="S529" i="1"/>
  <c r="S508" i="1"/>
  <c r="S482" i="1"/>
  <c r="S435" i="1"/>
  <c r="S381" i="1"/>
  <c r="S327" i="1"/>
  <c r="S295" i="1"/>
  <c r="S266" i="1"/>
  <c r="S122" i="1"/>
  <c r="R694" i="1"/>
  <c r="S694" i="1"/>
  <c r="R195" i="1"/>
  <c r="S195" i="1"/>
  <c r="R893" i="1"/>
  <c r="S893" i="1"/>
  <c r="R640" i="1"/>
  <c r="S640" i="1"/>
  <c r="R557" i="1"/>
  <c r="S557" i="1"/>
  <c r="R45" i="1"/>
  <c r="S45" i="1"/>
  <c r="R299" i="1"/>
  <c r="S299" i="1"/>
  <c r="R225" i="1"/>
  <c r="S225" i="1"/>
  <c r="R57" i="1"/>
  <c r="S57" i="1"/>
  <c r="R131" i="1"/>
  <c r="S131" i="1"/>
  <c r="R784" i="1"/>
  <c r="S784" i="1"/>
  <c r="R227" i="1"/>
  <c r="S227" i="1"/>
  <c r="R777" i="1"/>
  <c r="S777" i="1"/>
  <c r="R633" i="1"/>
  <c r="S633" i="1"/>
  <c r="R90" i="1"/>
  <c r="S90" i="1"/>
  <c r="R128" i="1"/>
  <c r="S128" i="1"/>
  <c r="R81" i="1"/>
  <c r="S81" i="1"/>
  <c r="R632" i="1"/>
  <c r="S632" i="1"/>
  <c r="R249" i="1"/>
  <c r="S249" i="1"/>
  <c r="R352" i="1"/>
  <c r="S352" i="1"/>
  <c r="R383" i="1"/>
  <c r="S383" i="1"/>
  <c r="R87" i="1"/>
  <c r="S87" i="1"/>
  <c r="R871" i="1"/>
  <c r="S871" i="1"/>
  <c r="S464" i="1"/>
  <c r="R506" i="1"/>
  <c r="S506" i="1"/>
  <c r="R73" i="1"/>
  <c r="S73" i="1"/>
  <c r="R540" i="1"/>
  <c r="S540" i="1"/>
  <c r="R643" i="1"/>
  <c r="S643" i="1"/>
  <c r="R358" i="1"/>
  <c r="S358" i="1"/>
  <c r="R386" i="1"/>
  <c r="S386" i="1"/>
  <c r="R839" i="1"/>
  <c r="S839" i="1"/>
  <c r="R667" i="1"/>
  <c r="S667" i="1"/>
  <c r="R354" i="1"/>
  <c r="S354" i="1"/>
  <c r="R212" i="1"/>
  <c r="S212" i="1"/>
  <c r="R332" i="1"/>
  <c r="S332" i="1"/>
  <c r="R702" i="1"/>
  <c r="S702" i="1"/>
  <c r="R274" i="1"/>
  <c r="S274" i="1"/>
  <c r="R314" i="1"/>
  <c r="S314" i="1"/>
  <c r="R363" i="1"/>
  <c r="S363" i="1"/>
  <c r="R430" i="1"/>
  <c r="S430" i="1"/>
  <c r="R913" i="1"/>
  <c r="S913" i="1"/>
  <c r="R253" i="1"/>
  <c r="S253" i="1"/>
  <c r="R127" i="1"/>
  <c r="S127" i="1"/>
  <c r="S787" i="1"/>
  <c r="R626" i="1"/>
  <c r="S626" i="1"/>
  <c r="R414" i="1"/>
  <c r="S414" i="1"/>
  <c r="R571" i="1"/>
  <c r="S571" i="1"/>
  <c r="R662" i="1"/>
  <c r="S662" i="1"/>
  <c r="R333" i="1"/>
  <c r="S333" i="1"/>
  <c r="R661" i="1"/>
  <c r="S661" i="1"/>
  <c r="R516" i="1"/>
  <c r="S516" i="1"/>
  <c r="R25" i="1"/>
  <c r="S25" i="1"/>
  <c r="R32" i="1"/>
  <c r="S32" i="1"/>
  <c r="R477" i="1"/>
  <c r="S477" i="1"/>
  <c r="R218" i="1"/>
  <c r="S218" i="1"/>
  <c r="R216" i="1"/>
  <c r="S216" i="1"/>
  <c r="R586" i="1"/>
  <c r="S586" i="1"/>
  <c r="R936" i="1"/>
  <c r="S936" i="1"/>
  <c r="R79" i="1"/>
  <c r="S79" i="1"/>
  <c r="R27" i="1"/>
  <c r="S27" i="1"/>
  <c r="R726" i="1"/>
  <c r="S726" i="1"/>
  <c r="R56" i="1"/>
  <c r="S56" i="1"/>
  <c r="R72" i="1"/>
  <c r="S72" i="1"/>
  <c r="R480" i="1"/>
  <c r="S480" i="1"/>
  <c r="R281" i="1"/>
  <c r="S281" i="1"/>
  <c r="R104" i="1"/>
  <c r="S104" i="1"/>
  <c r="R479" i="1"/>
  <c r="S479" i="1"/>
  <c r="R43" i="1"/>
  <c r="S43" i="1"/>
  <c r="R209" i="1"/>
  <c r="S209" i="1"/>
  <c r="R793" i="1"/>
  <c r="S793" i="1"/>
  <c r="R174" i="1"/>
  <c r="S174" i="1"/>
  <c r="R228" i="1"/>
  <c r="S228" i="1"/>
  <c r="R466" i="1"/>
  <c r="S466" i="1"/>
  <c r="R296" i="1"/>
  <c r="S296" i="1"/>
  <c r="R720" i="1"/>
  <c r="S720" i="1"/>
  <c r="R151" i="1"/>
  <c r="S151" i="1"/>
  <c r="R847" i="1"/>
  <c r="S847" i="1"/>
  <c r="R613" i="1"/>
  <c r="S613" i="1"/>
  <c r="R523" i="1"/>
  <c r="S523" i="1"/>
  <c r="R486" i="1"/>
  <c r="S486" i="1"/>
  <c r="R271" i="1"/>
  <c r="S271" i="1"/>
  <c r="R55" i="1"/>
  <c r="S55" i="1"/>
  <c r="R710" i="1"/>
  <c r="S710" i="1"/>
  <c r="R925" i="1"/>
  <c r="S925" i="1"/>
  <c r="R905" i="1"/>
  <c r="S905" i="1"/>
  <c r="R286" i="1"/>
  <c r="S286" i="1"/>
  <c r="R140" i="1"/>
  <c r="S140" i="1"/>
  <c r="R206" i="1"/>
  <c r="S206" i="1"/>
  <c r="R652" i="1"/>
  <c r="S652" i="1"/>
  <c r="R309" i="1"/>
  <c r="S309" i="1"/>
  <c r="R144" i="1"/>
  <c r="S144" i="1"/>
  <c r="R462" i="1"/>
  <c r="S462" i="1"/>
  <c r="R324" i="1"/>
  <c r="S324" i="1"/>
  <c r="R966" i="1"/>
  <c r="S966" i="1"/>
  <c r="R577" i="1"/>
  <c r="S577" i="1"/>
  <c r="R561" i="1"/>
  <c r="S561" i="1"/>
  <c r="R434" i="1"/>
  <c r="S434" i="1"/>
  <c r="R612" i="1"/>
  <c r="S612" i="1"/>
  <c r="R111" i="1"/>
  <c r="S111" i="1"/>
  <c r="R21" i="1"/>
  <c r="S21" i="1"/>
  <c r="R221" i="1"/>
  <c r="S221" i="1"/>
  <c r="R196" i="1"/>
  <c r="S196" i="1"/>
  <c r="R669" i="1"/>
  <c r="S669" i="1"/>
  <c r="R244" i="1"/>
  <c r="S244" i="1"/>
  <c r="R704" i="1"/>
  <c r="S704" i="1"/>
  <c r="R478" i="1"/>
  <c r="S478" i="1"/>
  <c r="R751" i="1"/>
  <c r="S751" i="1"/>
  <c r="R686" i="1"/>
  <c r="S686" i="1"/>
  <c r="R407" i="1"/>
  <c r="S407" i="1"/>
  <c r="R82" i="1"/>
  <c r="S82" i="1"/>
  <c r="R775" i="1"/>
  <c r="S775" i="1"/>
  <c r="R162" i="1"/>
  <c r="S162" i="1"/>
  <c r="R809" i="1"/>
  <c r="S809" i="1"/>
  <c r="R758" i="1"/>
  <c r="S758" i="1"/>
  <c r="R965" i="1"/>
  <c r="S965" i="1"/>
  <c r="R587" i="1"/>
  <c r="S587" i="1"/>
  <c r="R119" i="1"/>
  <c r="S119" i="1"/>
  <c r="R801" i="1"/>
  <c r="S801" i="1"/>
  <c r="R507" i="1"/>
  <c r="S507" i="1"/>
  <c r="R681" i="1"/>
  <c r="S681" i="1"/>
  <c r="R76" i="1"/>
  <c r="S76" i="1"/>
  <c r="R894" i="1"/>
  <c r="S894" i="1"/>
  <c r="R219" i="1"/>
  <c r="S219" i="1"/>
  <c r="R873" i="1"/>
  <c r="S873" i="1"/>
  <c r="R470" i="1"/>
  <c r="S470" i="1"/>
  <c r="R148" i="1"/>
  <c r="S148" i="1"/>
  <c r="R329" i="1"/>
  <c r="S329" i="1"/>
  <c r="R525" i="1"/>
  <c r="S525" i="1"/>
  <c r="R658" i="1"/>
  <c r="S658" i="1"/>
  <c r="R767" i="1"/>
  <c r="S767" i="1"/>
  <c r="R19" i="1"/>
  <c r="S19" i="1"/>
  <c r="S1001" i="1"/>
  <c r="S993" i="1"/>
  <c r="S985" i="1"/>
  <c r="S977" i="1"/>
  <c r="S964" i="1"/>
  <c r="S948" i="1"/>
  <c r="S931" i="1"/>
  <c r="S908" i="1"/>
  <c r="S890" i="1"/>
  <c r="S867" i="1"/>
  <c r="S844" i="1"/>
  <c r="S826" i="1"/>
  <c r="S803" i="1"/>
  <c r="S780" i="1"/>
  <c r="S762" i="1"/>
  <c r="S739" i="1"/>
  <c r="S716" i="1"/>
  <c r="S674" i="1"/>
  <c r="S648" i="1"/>
  <c r="S627" i="1"/>
  <c r="S601" i="1"/>
  <c r="S575" i="1"/>
  <c r="S554" i="1"/>
  <c r="S528" i="1"/>
  <c r="S501" i="1"/>
  <c r="S481" i="1"/>
  <c r="S428" i="1"/>
  <c r="S408" i="1"/>
  <c r="S380" i="1"/>
  <c r="S325" i="1"/>
  <c r="S292" i="1"/>
  <c r="S251" i="1"/>
  <c r="S114" i="1"/>
  <c r="R760" i="1"/>
  <c r="S760" i="1"/>
  <c r="R265" i="1"/>
  <c r="S265" i="1"/>
  <c r="R608" i="1"/>
  <c r="S608" i="1"/>
  <c r="R110" i="1"/>
  <c r="S110" i="1"/>
  <c r="R166" i="1"/>
  <c r="S166" i="1"/>
  <c r="R849" i="1"/>
  <c r="S849" i="1"/>
  <c r="R957" i="1"/>
  <c r="S957" i="1"/>
  <c r="R31" i="1"/>
  <c r="S31" i="1"/>
  <c r="R203" i="1"/>
  <c r="S203" i="1"/>
  <c r="R91" i="1"/>
  <c r="S91" i="1"/>
  <c r="R337" i="1"/>
  <c r="S337" i="1"/>
  <c r="R515" i="1"/>
  <c r="S515" i="1"/>
  <c r="R672" i="1"/>
  <c r="S672" i="1"/>
  <c r="R805" i="1"/>
  <c r="S805" i="1"/>
  <c r="R390" i="1"/>
  <c r="S390" i="1"/>
  <c r="R816" i="1"/>
  <c r="S816" i="1"/>
  <c r="R200" i="1"/>
  <c r="S200" i="1"/>
  <c r="R833" i="1"/>
  <c r="S833" i="1"/>
  <c r="R398" i="1"/>
  <c r="S398" i="1"/>
  <c r="R366" i="1"/>
  <c r="S366" i="1"/>
  <c r="R774" i="1"/>
  <c r="S774" i="1"/>
  <c r="R703" i="1"/>
  <c r="S703" i="1"/>
  <c r="R488" i="1"/>
  <c r="S488" i="1"/>
  <c r="R397" i="1"/>
  <c r="S397" i="1"/>
  <c r="R208" i="1"/>
  <c r="S208" i="1"/>
  <c r="R442" i="1"/>
  <c r="S442" i="1"/>
  <c r="R625" i="1"/>
  <c r="S625" i="1"/>
  <c r="R451" i="1"/>
  <c r="S451" i="1"/>
  <c r="R231" i="1"/>
  <c r="S231" i="1"/>
  <c r="R384" i="1"/>
  <c r="S384" i="1"/>
  <c r="R945" i="1"/>
  <c r="S945" i="1"/>
  <c r="R791" i="1"/>
  <c r="S791" i="1"/>
  <c r="R106" i="1"/>
  <c r="S106" i="1"/>
  <c r="R171" i="1"/>
  <c r="S171" i="1"/>
  <c r="R757" i="1"/>
  <c r="S757" i="1"/>
  <c r="R94" i="1"/>
  <c r="S94" i="1"/>
  <c r="R199" i="1"/>
  <c r="S199" i="1"/>
  <c r="R768" i="1"/>
  <c r="S768" i="1"/>
  <c r="S810" i="1"/>
  <c r="S536" i="1"/>
  <c r="S410" i="1"/>
  <c r="R71" i="1"/>
  <c r="S71" i="1"/>
  <c r="R951" i="1"/>
  <c r="S951" i="1"/>
  <c r="R550" i="1"/>
  <c r="S550" i="1"/>
  <c r="R568" i="1"/>
  <c r="S568" i="1"/>
  <c r="R807" i="1"/>
  <c r="S807" i="1"/>
  <c r="R800" i="1"/>
  <c r="S800" i="1"/>
  <c r="R680" i="1"/>
  <c r="S680" i="1"/>
  <c r="R343" i="1"/>
  <c r="S343" i="1"/>
  <c r="R256" i="1"/>
  <c r="S256" i="1"/>
  <c r="R402" i="1"/>
  <c r="S402" i="1"/>
  <c r="R134" i="1"/>
  <c r="S134" i="1"/>
  <c r="R806" i="1"/>
  <c r="S806" i="1"/>
  <c r="R733" i="1"/>
  <c r="S733" i="1"/>
  <c r="R326" i="1"/>
  <c r="S326" i="1"/>
  <c r="R831" i="1"/>
  <c r="S831" i="1"/>
  <c r="R170" i="1"/>
  <c r="S170" i="1"/>
  <c r="R260" i="1"/>
  <c r="S260" i="1"/>
  <c r="R355" i="1"/>
  <c r="S355" i="1"/>
  <c r="R14" i="1"/>
  <c r="S14" i="1"/>
  <c r="R99" i="1"/>
  <c r="S99" i="1"/>
  <c r="R521" i="1"/>
  <c r="S521" i="1"/>
  <c r="R65" i="1"/>
  <c r="S65" i="1"/>
  <c r="R64" i="1"/>
  <c r="S64" i="1"/>
  <c r="R42" i="1"/>
  <c r="S42" i="1"/>
  <c r="R364" i="1"/>
  <c r="S364" i="1"/>
  <c r="R937" i="1"/>
  <c r="S937" i="1"/>
  <c r="R649" i="1"/>
  <c r="S649" i="1"/>
  <c r="R321" i="1"/>
  <c r="S321" i="1"/>
  <c r="R749" i="1"/>
  <c r="S749" i="1"/>
  <c r="R120" i="1"/>
  <c r="S120" i="1"/>
  <c r="R909" i="1"/>
  <c r="S909" i="1"/>
  <c r="R622" i="1"/>
  <c r="S622" i="1"/>
  <c r="R182" i="1"/>
  <c r="S182" i="1"/>
  <c r="R161" i="1"/>
  <c r="S161" i="1"/>
  <c r="R614" i="1"/>
  <c r="S614" i="1"/>
  <c r="R912" i="1"/>
  <c r="S912" i="1"/>
  <c r="R181" i="1"/>
  <c r="S181" i="1"/>
  <c r="R642" i="1"/>
  <c r="S642" i="1"/>
  <c r="R840" i="1"/>
  <c r="S840" i="1"/>
  <c r="R123" i="1"/>
  <c r="S123" i="1"/>
  <c r="R513" i="1"/>
  <c r="S513" i="1"/>
  <c r="R230" i="1"/>
  <c r="S230" i="1"/>
  <c r="R84" i="1"/>
  <c r="S84" i="1"/>
  <c r="R582" i="1"/>
  <c r="S582" i="1"/>
  <c r="R63" i="1"/>
  <c r="S63" i="1"/>
  <c r="R471" i="1"/>
  <c r="S471" i="1"/>
  <c r="R423" i="1"/>
  <c r="S423" i="1"/>
  <c r="R112" i="1"/>
  <c r="S112" i="1"/>
  <c r="R165" i="1"/>
  <c r="S165" i="1"/>
  <c r="R452" i="1"/>
  <c r="S452" i="1"/>
  <c r="R589" i="1"/>
  <c r="S589" i="1"/>
  <c r="R245" i="1"/>
  <c r="S245" i="1"/>
  <c r="R139" i="1"/>
  <c r="S139" i="1"/>
  <c r="R275" i="1"/>
  <c r="S275" i="1"/>
  <c r="R544" i="1"/>
  <c r="S544" i="1"/>
  <c r="R320" i="1"/>
  <c r="S320" i="1"/>
  <c r="R548" i="1"/>
  <c r="S548" i="1"/>
  <c r="R595" i="1"/>
  <c r="S595" i="1"/>
  <c r="R36" i="1"/>
  <c r="S36" i="1"/>
  <c r="R312" i="1"/>
  <c r="S312" i="1"/>
  <c r="R838" i="1"/>
  <c r="S838" i="1"/>
  <c r="R247" i="1"/>
  <c r="S247" i="1"/>
  <c r="R630" i="1"/>
  <c r="S630" i="1"/>
  <c r="R845" i="1"/>
  <c r="S845" i="1"/>
  <c r="R448" i="1"/>
  <c r="S448" i="1"/>
  <c r="R361" i="1"/>
  <c r="S361" i="1"/>
  <c r="R220" i="1"/>
  <c r="S220" i="1"/>
  <c r="R433" i="1"/>
  <c r="S433" i="1"/>
  <c r="R485" i="1"/>
  <c r="S485" i="1"/>
  <c r="R189" i="1"/>
  <c r="S189" i="1"/>
  <c r="R411" i="1"/>
  <c r="S411" i="1"/>
  <c r="R420" i="1"/>
  <c r="S420" i="1"/>
  <c r="R685" i="1"/>
  <c r="S685" i="1"/>
  <c r="R257" i="1"/>
  <c r="S257" i="1"/>
  <c r="R468" i="1"/>
  <c r="S468" i="1"/>
  <c r="R745" i="1"/>
  <c r="S745" i="1"/>
  <c r="R885" i="1"/>
  <c r="S885" i="1"/>
  <c r="R902" i="1"/>
  <c r="S902" i="1"/>
  <c r="R769" i="1"/>
  <c r="S769" i="1"/>
  <c r="R53" i="1"/>
  <c r="S53" i="1"/>
  <c r="R198" i="1"/>
  <c r="S198" i="1"/>
  <c r="R283" i="1"/>
  <c r="S283" i="1"/>
  <c r="R376" i="1"/>
  <c r="S376" i="1"/>
  <c r="R377" i="1"/>
  <c r="S377" i="1"/>
  <c r="R378" i="1"/>
  <c r="S378" i="1"/>
  <c r="R889" i="1"/>
  <c r="S889" i="1"/>
  <c r="R183" i="1"/>
  <c r="S183" i="1"/>
  <c r="R879" i="1"/>
  <c r="S879" i="1"/>
  <c r="R668" i="1"/>
  <c r="S668" i="1"/>
  <c r="R949" i="1"/>
  <c r="S949" i="1"/>
  <c r="S992" i="1"/>
  <c r="S984" i="1"/>
  <c r="S976" i="1"/>
  <c r="S963" i="1"/>
  <c r="S947" i="1"/>
  <c r="S930" i="1"/>
  <c r="S907" i="1"/>
  <c r="S884" i="1"/>
  <c r="S866" i="1"/>
  <c r="S843" i="1"/>
  <c r="S820" i="1"/>
  <c r="S802" i="1"/>
  <c r="S779" i="1"/>
  <c r="S756" i="1"/>
  <c r="S738" i="1"/>
  <c r="S715" i="1"/>
  <c r="S673" i="1"/>
  <c r="S620" i="1"/>
  <c r="S600" i="1"/>
  <c r="S573" i="1"/>
  <c r="S500" i="1"/>
  <c r="S474" i="1"/>
  <c r="S453" i="1"/>
  <c r="S427" i="1"/>
  <c r="S401" i="1"/>
  <c r="S348" i="1"/>
  <c r="S317" i="1"/>
  <c r="S291" i="1"/>
  <c r="S250" i="1"/>
  <c r="S66" i="1"/>
  <c r="R429" i="1"/>
  <c r="S429" i="1"/>
  <c r="R646" i="1"/>
  <c r="S646" i="1"/>
  <c r="R489" i="1"/>
  <c r="S489" i="1"/>
  <c r="R272" i="1"/>
  <c r="S272" i="1"/>
  <c r="R289" i="1"/>
  <c r="S289" i="1"/>
  <c r="R269" i="1"/>
  <c r="S269" i="1"/>
  <c r="R476" i="1"/>
  <c r="S476" i="1"/>
  <c r="R869" i="1"/>
  <c r="S869" i="1"/>
  <c r="R85" i="1"/>
  <c r="S85" i="1"/>
  <c r="R29" i="1"/>
  <c r="S29" i="1"/>
  <c r="R660" i="1"/>
  <c r="S660" i="1"/>
  <c r="R933" i="1"/>
  <c r="S933" i="1"/>
  <c r="R653" i="1"/>
  <c r="S653" i="1"/>
  <c r="R735" i="1"/>
  <c r="S735" i="1"/>
  <c r="R12" i="1"/>
  <c r="S12" i="1"/>
  <c r="R896" i="1"/>
  <c r="S896" i="1"/>
  <c r="R388" i="1"/>
  <c r="S388" i="1"/>
  <c r="R373" i="1"/>
  <c r="S373" i="1"/>
  <c r="R781" i="1"/>
  <c r="S781" i="1"/>
  <c r="R49" i="1"/>
  <c r="S49" i="1"/>
  <c r="R117" i="1"/>
  <c r="S117" i="1"/>
  <c r="S811" i="1"/>
  <c r="S563" i="1"/>
  <c r="S437" i="1"/>
  <c r="R953" i="1"/>
  <c r="S953" i="1"/>
  <c r="R942" i="1"/>
  <c r="S942" i="1"/>
  <c r="R146" i="1"/>
  <c r="S146" i="1"/>
  <c r="R74" i="1"/>
  <c r="S74" i="1"/>
  <c r="R552" i="1"/>
  <c r="S552" i="1"/>
  <c r="R48" i="1"/>
  <c r="S48" i="1"/>
  <c r="R967" i="1"/>
  <c r="S967" i="1"/>
  <c r="R129" i="1"/>
  <c r="S129" i="1"/>
  <c r="R107" i="1"/>
  <c r="S107" i="1"/>
  <c r="R374" i="1"/>
  <c r="S374" i="1"/>
  <c r="R717" i="1"/>
  <c r="S717" i="1"/>
  <c r="R334" i="1"/>
  <c r="S334" i="1"/>
  <c r="R293" i="1"/>
  <c r="S293" i="1"/>
  <c r="R353" i="1"/>
  <c r="S353" i="1"/>
  <c r="R535" i="1"/>
  <c r="S535" i="1"/>
  <c r="R290" i="1"/>
  <c r="S290" i="1"/>
  <c r="R11" i="1"/>
  <c r="S11" i="1"/>
  <c r="R744" i="1"/>
  <c r="S744" i="1"/>
  <c r="S874" i="1"/>
  <c r="S389" i="1"/>
  <c r="S130" i="1"/>
  <c r="R824" i="1"/>
  <c r="S824" i="1"/>
  <c r="R232" i="1"/>
  <c r="S232" i="1"/>
  <c r="R475" i="1"/>
  <c r="S475" i="1"/>
  <c r="R86" i="1"/>
  <c r="S86" i="1"/>
  <c r="R310" i="1"/>
  <c r="S310" i="1"/>
  <c r="R553" i="1"/>
  <c r="S553" i="1"/>
  <c r="R856" i="1"/>
  <c r="S856" i="1"/>
  <c r="R773" i="1"/>
  <c r="S773" i="1"/>
  <c r="R261" i="1"/>
  <c r="S261" i="1"/>
  <c r="R248" i="1"/>
  <c r="S248" i="1"/>
  <c r="R39" i="1"/>
  <c r="S39" i="1"/>
  <c r="R737" i="1"/>
  <c r="S737" i="1"/>
  <c r="R262" i="1"/>
  <c r="S262" i="1"/>
  <c r="R44" i="1"/>
  <c r="S44" i="1"/>
  <c r="R688" i="1"/>
  <c r="S688" i="1"/>
  <c r="R644" i="1"/>
  <c r="S644" i="1"/>
  <c r="R765" i="1"/>
  <c r="S765" i="1"/>
  <c r="R24" i="1"/>
  <c r="S24" i="1"/>
  <c r="R596" i="1"/>
  <c r="S596" i="1"/>
  <c r="R450" i="1"/>
  <c r="S450" i="1"/>
  <c r="R634" i="1"/>
  <c r="S634" i="1"/>
  <c r="R217" i="1"/>
  <c r="S217" i="1"/>
  <c r="R441" i="1"/>
  <c r="S441" i="1"/>
  <c r="R23" i="1"/>
  <c r="S23" i="1"/>
  <c r="R142" i="1"/>
  <c r="S142" i="1"/>
  <c r="R259" i="1"/>
  <c r="S259" i="1"/>
  <c r="R941" i="1"/>
  <c r="S941" i="1"/>
  <c r="R344" i="1"/>
  <c r="S344" i="1"/>
  <c r="R615" i="1"/>
  <c r="S615" i="1"/>
  <c r="R440" i="1"/>
  <c r="S440" i="1"/>
  <c r="R696" i="1"/>
  <c r="S696" i="1"/>
  <c r="R300" i="1"/>
  <c r="S300" i="1"/>
  <c r="R202" i="1"/>
  <c r="S202" i="1"/>
  <c r="R185" i="1"/>
  <c r="S185" i="1"/>
  <c r="R785" i="1"/>
  <c r="S785" i="1"/>
  <c r="R926" i="1"/>
  <c r="S926" i="1"/>
  <c r="R382" i="1"/>
  <c r="S382" i="1"/>
  <c r="R303" i="1"/>
  <c r="S303" i="1"/>
  <c r="R302" i="1"/>
  <c r="S302" i="1"/>
  <c r="R579" i="1"/>
  <c r="S579" i="1"/>
  <c r="R150" i="1"/>
  <c r="S150" i="1"/>
  <c r="R543" i="1"/>
  <c r="S543" i="1"/>
  <c r="R224" i="1"/>
  <c r="S224" i="1"/>
  <c r="R821" i="1"/>
  <c r="S821" i="1"/>
  <c r="R301" i="1"/>
  <c r="S301" i="1"/>
  <c r="R180" i="1"/>
  <c r="S180" i="1"/>
  <c r="R277" i="1"/>
  <c r="S277" i="1"/>
  <c r="R37" i="1"/>
  <c r="S37" i="1"/>
  <c r="R518" i="1"/>
  <c r="S518" i="1"/>
  <c r="R215" i="1"/>
  <c r="S215" i="1"/>
  <c r="R928" i="1"/>
  <c r="S928" i="1"/>
  <c r="R973" i="1"/>
  <c r="S973" i="1"/>
  <c r="R560" i="1"/>
  <c r="S560" i="1"/>
  <c r="R226" i="1"/>
  <c r="S226" i="1"/>
  <c r="R533" i="1"/>
  <c r="S533" i="1"/>
  <c r="R394" i="1"/>
  <c r="S394" i="1"/>
  <c r="R599" i="1"/>
  <c r="S599" i="1"/>
  <c r="R270" i="1"/>
  <c r="S270" i="1"/>
  <c r="R651" i="1"/>
  <c r="S651" i="1"/>
  <c r="R878" i="1"/>
  <c r="S878" i="1"/>
  <c r="R687" i="1"/>
  <c r="S687" i="1"/>
  <c r="R102" i="1"/>
  <c r="S102" i="1"/>
  <c r="R153" i="1"/>
  <c r="S153" i="1"/>
  <c r="R750" i="1"/>
  <c r="S750" i="1"/>
  <c r="R503" i="1"/>
  <c r="S503" i="1"/>
  <c r="R789" i="1"/>
  <c r="S789" i="1"/>
  <c r="R323" i="1"/>
  <c r="S323" i="1"/>
  <c r="R4" i="1"/>
  <c r="S4" i="1"/>
  <c r="R713" i="1"/>
  <c r="S713" i="1"/>
  <c r="R298" i="1"/>
  <c r="S298" i="1"/>
  <c r="R853" i="1"/>
  <c r="S853" i="1"/>
  <c r="R808" i="1"/>
  <c r="S808" i="1"/>
  <c r="R903" i="1"/>
  <c r="S903" i="1"/>
  <c r="R149" i="1"/>
  <c r="S149" i="1"/>
  <c r="R341" i="1"/>
  <c r="S341" i="1"/>
  <c r="R273" i="1"/>
  <c r="S273" i="1"/>
  <c r="R138" i="1"/>
  <c r="S138" i="1"/>
  <c r="R345" i="1"/>
  <c r="S345" i="1"/>
  <c r="R16" i="1"/>
  <c r="S16" i="1"/>
  <c r="R3" i="1"/>
  <c r="S3" i="1"/>
  <c r="R865" i="1"/>
  <c r="S865" i="1"/>
  <c r="R693" i="1"/>
  <c r="S693" i="1"/>
  <c r="R313" i="1"/>
  <c r="S313" i="1"/>
  <c r="R362" i="1"/>
  <c r="S362" i="1"/>
  <c r="R264" i="1"/>
  <c r="S264" i="1"/>
  <c r="R20" i="1"/>
  <c r="S20" i="1"/>
  <c r="R10" i="1"/>
  <c r="S10" i="1"/>
  <c r="R136" i="1"/>
  <c r="S136" i="1"/>
  <c r="S999" i="1"/>
  <c r="S975" i="1"/>
  <c r="S962" i="1"/>
  <c r="S946" i="1"/>
  <c r="S924" i="1"/>
  <c r="S906" i="1"/>
  <c r="S883" i="1"/>
  <c r="S860" i="1"/>
  <c r="S842" i="1"/>
  <c r="S819" i="1"/>
  <c r="S796" i="1"/>
  <c r="S778" i="1"/>
  <c r="S755" i="1"/>
  <c r="S732" i="1"/>
  <c r="S691" i="1"/>
  <c r="S666" i="1"/>
  <c r="S645" i="1"/>
  <c r="S619" i="1"/>
  <c r="S593" i="1"/>
  <c r="S572" i="1"/>
  <c r="S546" i="1"/>
  <c r="S520" i="1"/>
  <c r="S499" i="1"/>
  <c r="S473" i="1"/>
  <c r="S447" i="1"/>
  <c r="S400" i="1"/>
  <c r="S371" i="1"/>
  <c r="S347" i="1"/>
  <c r="S316" i="1"/>
  <c r="S282" i="1"/>
  <c r="S58" i="1"/>
  <c r="R214" i="1"/>
  <c r="S214" i="1"/>
  <c r="R234" i="1"/>
  <c r="S234" i="1"/>
  <c r="R872" i="1"/>
  <c r="S872" i="1"/>
  <c r="R365" i="1"/>
  <c r="S365" i="1"/>
  <c r="R201" i="1"/>
  <c r="S201" i="1"/>
  <c r="R766" i="1"/>
  <c r="S766" i="1"/>
  <c r="R169" i="1"/>
  <c r="S169" i="1"/>
  <c r="R255" i="1"/>
  <c r="S255" i="1"/>
  <c r="R901" i="1"/>
  <c r="S901" i="1"/>
  <c r="R158" i="1"/>
  <c r="S158" i="1"/>
  <c r="R172" i="1"/>
  <c r="S172" i="1"/>
  <c r="R62" i="1"/>
  <c r="S62" i="1"/>
  <c r="R404" i="1"/>
  <c r="S404" i="1"/>
  <c r="R61" i="1"/>
  <c r="S61" i="1"/>
  <c r="R69" i="1"/>
  <c r="S69" i="1"/>
  <c r="R152" i="1"/>
  <c r="S152" i="1"/>
  <c r="R305" i="1"/>
  <c r="S305" i="1"/>
  <c r="R415" i="1"/>
  <c r="S415" i="1"/>
  <c r="R943" i="1"/>
  <c r="S943" i="1"/>
  <c r="R443" i="1"/>
  <c r="S443" i="1"/>
  <c r="R569" i="1"/>
  <c r="S569" i="1"/>
  <c r="R534" i="1"/>
  <c r="S534" i="1"/>
  <c r="S490" i="1"/>
  <c r="R80" i="1"/>
  <c r="S80" i="1"/>
  <c r="R52" i="1"/>
  <c r="S52" i="1"/>
  <c r="R387" i="1"/>
  <c r="S387" i="1"/>
  <c r="R287" i="1"/>
  <c r="S287" i="1"/>
  <c r="R93" i="1"/>
  <c r="S93" i="1"/>
  <c r="R725" i="1"/>
  <c r="S725" i="1"/>
  <c r="R961" i="1"/>
  <c r="S961" i="1"/>
  <c r="R252" i="1"/>
  <c r="S252" i="1"/>
  <c r="R654" i="1"/>
  <c r="S654" i="1"/>
  <c r="R539" i="1"/>
  <c r="S539" i="1"/>
  <c r="R40" i="1"/>
  <c r="S40" i="1"/>
  <c r="R638" i="1"/>
  <c r="S638" i="1"/>
  <c r="R512" i="1"/>
  <c r="S512" i="1"/>
  <c r="R929" i="1"/>
  <c r="S929" i="1"/>
  <c r="R829" i="1"/>
  <c r="S829" i="1"/>
  <c r="R385" i="1"/>
  <c r="S385" i="1"/>
  <c r="R734" i="1"/>
  <c r="S734" i="1"/>
  <c r="R950" i="1"/>
  <c r="S950" i="1"/>
  <c r="R910" i="1"/>
  <c r="S910" i="1"/>
  <c r="R176" i="1"/>
  <c r="S176" i="1"/>
  <c r="R969" i="1"/>
  <c r="S969" i="1"/>
  <c r="R46" i="1"/>
  <c r="S46" i="1"/>
  <c r="R9" i="1"/>
  <c r="S9" i="1"/>
  <c r="R864" i="1"/>
  <c r="S864" i="1"/>
  <c r="R135" i="1"/>
  <c r="S135" i="1"/>
  <c r="R460" i="1"/>
  <c r="S460" i="1"/>
  <c r="R243" i="1"/>
  <c r="S243" i="1"/>
  <c r="R496" i="1"/>
  <c r="S496" i="1"/>
  <c r="R103" i="1"/>
  <c r="S103" i="1"/>
  <c r="R205" i="1"/>
  <c r="S205" i="1"/>
  <c r="R870" i="1"/>
  <c r="S870" i="1"/>
  <c r="R597" i="1"/>
  <c r="S597" i="1"/>
  <c r="R541" i="1"/>
  <c r="S541" i="1"/>
  <c r="R741" i="1"/>
  <c r="S741" i="1"/>
  <c r="R396" i="1"/>
  <c r="S396" i="1"/>
  <c r="R921" i="1"/>
  <c r="S921" i="1"/>
  <c r="R213" i="1"/>
  <c r="S213" i="1"/>
  <c r="R617" i="1"/>
  <c r="S617" i="1"/>
  <c r="R623" i="1"/>
  <c r="S623" i="1"/>
  <c r="R825" i="1"/>
  <c r="S825" i="1"/>
  <c r="R590" i="1"/>
  <c r="S590" i="1"/>
  <c r="R917" i="1"/>
  <c r="S917" i="1"/>
  <c r="R78" i="1"/>
  <c r="S78" i="1"/>
  <c r="R514" i="1"/>
  <c r="S514" i="1"/>
  <c r="R132" i="1"/>
  <c r="S132" i="1"/>
  <c r="R862" i="1"/>
  <c r="S862" i="1"/>
  <c r="R854" i="1"/>
  <c r="S854" i="1"/>
  <c r="R616" i="1"/>
  <c r="S616" i="1"/>
  <c r="R8" i="1"/>
  <c r="S8" i="1"/>
  <c r="R70" i="1"/>
  <c r="S70" i="1"/>
  <c r="R18" i="1"/>
  <c r="S18" i="1"/>
  <c r="R173" i="1"/>
  <c r="S173" i="1"/>
  <c r="R38" i="1"/>
  <c r="S38" i="1"/>
  <c r="R393" i="1"/>
  <c r="S393" i="1"/>
  <c r="R861" i="1"/>
  <c r="S861" i="1"/>
  <c r="R719" i="1"/>
  <c r="S719" i="1"/>
  <c r="R59" i="1"/>
  <c r="S59" i="1"/>
  <c r="R505" i="1"/>
  <c r="S505" i="1"/>
  <c r="R413" i="1"/>
  <c r="S413" i="1"/>
  <c r="R88" i="1"/>
  <c r="S88" i="1"/>
  <c r="R141" i="1"/>
  <c r="S141" i="1"/>
  <c r="R631" i="1"/>
  <c r="S631" i="1"/>
  <c r="R585" i="1"/>
  <c r="S585" i="1"/>
  <c r="R797" i="1"/>
  <c r="S797" i="1"/>
  <c r="R522" i="1"/>
  <c r="S522" i="1"/>
  <c r="R759" i="1"/>
  <c r="S759" i="1"/>
  <c r="R416" i="1"/>
  <c r="S416" i="1"/>
  <c r="R350" i="1"/>
  <c r="S350" i="1"/>
  <c r="R95" i="1"/>
  <c r="S95" i="1"/>
  <c r="R742" i="1"/>
  <c r="S742" i="1"/>
  <c r="R604" i="1"/>
  <c r="S604" i="1"/>
  <c r="R782" i="1"/>
  <c r="S782" i="1"/>
  <c r="R815" i="1"/>
  <c r="S815" i="1"/>
  <c r="R240" i="1"/>
  <c r="S240" i="1"/>
  <c r="R504" i="1"/>
  <c r="S504" i="1"/>
  <c r="R776" i="1"/>
  <c r="S776" i="1"/>
  <c r="R671" i="1"/>
  <c r="S671" i="1"/>
  <c r="R26" i="1"/>
  <c r="S26" i="1"/>
  <c r="R709" i="1"/>
  <c r="S709" i="1"/>
  <c r="R457" i="1"/>
  <c r="S457" i="1"/>
  <c r="R235" i="1"/>
  <c r="S235" i="1"/>
  <c r="R484" i="1"/>
  <c r="S484" i="1"/>
  <c r="R495" i="1"/>
  <c r="S495" i="1"/>
  <c r="R211" i="1"/>
  <c r="S211" i="1"/>
  <c r="R346" i="1"/>
  <c r="S346" i="1"/>
  <c r="R294" i="1"/>
  <c r="S294" i="1"/>
  <c r="R659" i="1"/>
  <c r="S659" i="1"/>
  <c r="R431" i="1"/>
  <c r="S431" i="1"/>
  <c r="R624" i="1"/>
  <c r="S624" i="1"/>
  <c r="R17" i="1"/>
  <c r="S17" i="1"/>
  <c r="R118" i="1"/>
  <c r="S118" i="1"/>
  <c r="R494" i="1"/>
  <c r="S494" i="1"/>
  <c r="R493" i="1"/>
  <c r="S493" i="1"/>
  <c r="R137" i="1"/>
  <c r="S137" i="1"/>
  <c r="R454" i="1"/>
  <c r="S454" i="1"/>
  <c r="R712" i="1"/>
  <c r="S712" i="1"/>
  <c r="R108" i="1"/>
  <c r="S108" i="1"/>
  <c r="R877" i="1"/>
  <c r="S877" i="1"/>
  <c r="R33" i="1"/>
  <c r="S33" i="1"/>
  <c r="R116" i="1"/>
  <c r="S116" i="1"/>
  <c r="R68" i="1"/>
  <c r="S68" i="1"/>
  <c r="R598" i="1"/>
  <c r="S598" i="1"/>
  <c r="R837" i="1"/>
  <c r="S837" i="1"/>
  <c r="R311" i="1"/>
  <c r="S311" i="1"/>
  <c r="R233" i="1"/>
  <c r="S233" i="1"/>
  <c r="S998" i="1"/>
  <c r="S990" i="1"/>
  <c r="S982" i="1"/>
  <c r="S974" i="1"/>
  <c r="S923" i="1"/>
  <c r="S900" i="1"/>
  <c r="S882" i="1"/>
  <c r="S859" i="1"/>
  <c r="S818" i="1"/>
  <c r="S795" i="1"/>
  <c r="S772" i="1"/>
  <c r="S754" i="1"/>
  <c r="S731" i="1"/>
  <c r="S708" i="1"/>
  <c r="S690" i="1"/>
  <c r="S665" i="1"/>
  <c r="S639" i="1"/>
  <c r="S592" i="1"/>
  <c r="S565" i="1"/>
  <c r="S545" i="1"/>
  <c r="S519" i="1"/>
  <c r="S492" i="1"/>
  <c r="S472" i="1"/>
  <c r="S445" i="1"/>
  <c r="S399" i="1"/>
  <c r="S370" i="1"/>
  <c r="S339" i="1"/>
  <c r="S315" i="1"/>
  <c r="S194" i="1"/>
  <c r="S50" i="1"/>
  <c r="R34" i="1"/>
  <c r="S34" i="1"/>
  <c r="R570" i="1"/>
  <c r="S570" i="1"/>
  <c r="S611" i="1"/>
  <c r="R105" i="1"/>
</calcChain>
</file>

<file path=xl/sharedStrings.xml><?xml version="1.0" encoding="utf-8"?>
<sst xmlns="http://schemas.openxmlformats.org/spreadsheetml/2006/main" count="7061" uniqueCount="80">
  <si>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</si>
  <si>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</si>
  <si>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</si>
  <si>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</si>
  <si>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</si>
  <si>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</si>
  <si>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</si>
  <si>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</si>
  <si>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</si>
  <si>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</si>
  <si>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</si>
  <si>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</si>
  <si>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</si>
  <si>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</si>
  <si>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</si>
  <si>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</si>
  <si>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</si>
  <si>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</si>
  <si>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</si>
  <si>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</si>
  <si>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</si>
  <si>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</si>
  <si>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</si>
  <si>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</si>
  <si>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</si>
  <si>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</si>
  <si>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</si>
  <si>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</si>
  <si>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</si>
  <si>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</si>
  <si>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</si>
  <si>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</si>
  <si>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</si>
  <si>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</si>
  <si>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</si>
  <si>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</si>
  <si>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</si>
  <si>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</si>
  <si>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</si>
  <si>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</si>
  <si>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</si>
  <si>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</si>
  <si>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</si>
  <si>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</si>
  <si>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</si>
  <si>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</si>
  <si>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</si>
  <si>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</si>
  <si>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</si>
  <si>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</si>
  <si>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</si>
  <si>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</si>
  <si>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</si>
  <si>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</si>
  <si>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Price after discount</t>
  </si>
  <si>
    <t>PROFIT/LOSS</t>
  </si>
  <si>
    <t>Profit Margin %</t>
  </si>
  <si>
    <t>Total Amount after sale</t>
  </si>
  <si>
    <t>Grand Total</t>
  </si>
  <si>
    <t>Row Labels</t>
  </si>
  <si>
    <t>Sum of Price after discount</t>
  </si>
  <si>
    <t>2023</t>
  </si>
  <si>
    <t>2024</t>
  </si>
  <si>
    <t>Month_Date</t>
  </si>
  <si>
    <t>Jan</t>
  </si>
  <si>
    <t>Feb</t>
  </si>
  <si>
    <t>Mar</t>
  </si>
  <si>
    <t>Apr</t>
  </si>
  <si>
    <t>May</t>
  </si>
  <si>
    <t>Jun</t>
  </si>
  <si>
    <t>Jul</t>
  </si>
  <si>
    <t>Aug</t>
  </si>
  <si>
    <t>Sep</t>
  </si>
  <si>
    <t>Oct</t>
  </si>
  <si>
    <t>Nov</t>
  </si>
  <si>
    <t>Dec</t>
  </si>
  <si>
    <t>Total Profit / Loss (₹)</t>
  </si>
  <si>
    <t>Sales (₹)</t>
  </si>
  <si>
    <t>Profit/Loss (₹)</t>
  </si>
  <si>
    <t>Sum of Total Amount after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</si>
</sst>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44" fontId="0" fillId="0" borderId="0" xfId="1" applyFont="1"/>
    <xf numFmtId="9" fontId="0" fillId="0" borderId="0" xfId="2" applyFont="1"/>
    <xf numFmtId="44" fontId="0" fillId="0" borderId="0" xfId="0" applyNumberFormat="1"/>
    <xf numFmtId="2" fontId="0" fillId="0" borderId="0" xfId="2" applyNumberFormat="1" applyFont="1"/>
    <xf numFmtId="0" fontId="0" fillId="0" borderId="0" xfId="0" pivotButton="1"/>
    <xf numFmtId="0" fontId="0" fillId="0" borderId="0" xfId="0" applyAlignment="1">
      <alignment horizontal="left" indent="1"/>
    </xf>
    <xf numFmtId="0" fontId="0" fillId="0" borderId="0" xfId="0" applyAlignment="1">
      <alignment horizontal="left"/>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9">
    <dxf>
      <font>
        <color rgb="FF9C0006"/>
      </font>
      <fill>
        <patternFill>
          <bgColor rgb="FFFFC7CE"/>
        </patternFill>
      </fill>
    </dxf>
    <dxf>
      <font>
        <color rgb="FF006100"/>
      </font>
      <fill>
        <patternFill>
          <bgColor rgb="FFC6EFCE"/>
        </patternFill>
      </fill>
    </dxf>
    <dxf>
      <numFmt numFmtId="0" formatCode="Genera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34" formatCode="_ &quot;₹&quot;\ * #,##0.00_ ;_ &quot;₹&quot;\ * \-#,##0.00_ ;_ &quot;₹&quot;\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34" formatCode="_ &quot;₹&quot;\ * #,##0.00_ ;_ &quot;₹&quot;\ * \-#,##0.00_ ;_ &quot;₹&quot;\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34" formatCode="_ &quot;₹&quot;\ * #,##0.00_ ;_ &quot;₹&quot;\ * \-#,##0.00_ ;_ &quot;₹&quot;\ * &quot;-&quot;??_ ;_ @_ "/>
    </dxf>
    <dxf>
      <font>
        <b val="0"/>
        <i val="0"/>
        <strike val="0"/>
        <condense val="0"/>
        <extend val="0"/>
        <outline val="0"/>
        <shadow val="0"/>
        <u val="none"/>
        <vertAlign val="baseline"/>
        <sz val="11"/>
        <color theme="1"/>
        <name val="Calibri"/>
        <family val="2"/>
        <scheme val="minor"/>
      </font>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Gap Analysis &amp; Turnaround Strategy.xlsx]Monthly Sales &amp; Profit!PivotTable3</c:name>
    <c:fmtId val="19"/>
  </c:pivotSource>
  <c:chart>
    <c:autoTitleDeleted val="0"/>
    <c:pivotFmts>
      <c:pivotFmt>
        <c:idx val="0"/>
        <c:spPr>
          <a:ln w="28575" cap="rnd">
            <a:solidFill>
              <a:schemeClr val="accent2"/>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&amp; Profit'!$B$4</c:f>
              <c:strCache>
                <c:ptCount val="1"/>
                <c:pt idx="0">
                  <c:v>Sum of Price after discount</c:v>
                </c:pt>
              </c:strCache>
            </c:strRef>
          </c:tx>
          <c:spPr>
            <a:ln w="28575" cap="rnd">
              <a:solidFill>
                <a:schemeClr val="accent2"/>
              </a:solidFill>
              <a:round/>
            </a:ln>
            <a:effectLst/>
          </c:spPr>
          <c:marker>
            <c:symbol val="circle"/>
            <c:size val="6"/>
            <c:spPr>
              <a:solidFill>
                <a:schemeClr val="accent2"/>
              </a:solidFill>
              <a:ln>
                <a:noFill/>
              </a:ln>
              <a:effectLst/>
            </c:spPr>
          </c:marker>
          <c:cat>
            <c:multiLvlStrRef>
              <c:f>'Monthly Sales &amp; Profit'!$A$5:$A$20</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'Monthly Sales &amp; Profit'!$B$5:$B$20</c:f>
              <c:numCache>
                <c:formatCode>_("₹"* #,##0.00_);_("₹"* \(#,##0.00\);_("₹"* "-"??_);_(@_)</c:formatCode>
                <c:ptCount val="13"/>
                <c:pt idx="0">
                  <c:v>6375602.7684999974</c:v>
                </c:pt>
                <c:pt idx="1">
                  <c:v>4662249.4973999979</c:v>
                </c:pt>
                <c:pt idx="2">
                  <c:v>5111669.9625999965</c:v>
                </c:pt>
                <c:pt idx="3">
                  <c:v>4518199.6369999992</c:v>
                </c:pt>
                <c:pt idx="4">
                  <c:v>4878261.7866999982</c:v>
                </c:pt>
                <c:pt idx="5">
                  <c:v>5296111.9988999972</c:v>
                </c:pt>
                <c:pt idx="6">
                  <c:v>4003580.3108000001</c:v>
                </c:pt>
                <c:pt idx="7">
                  <c:v>5724989.7415000005</c:v>
                </c:pt>
                <c:pt idx="8">
                  <c:v>3835193.0909999972</c:v>
                </c:pt>
                <c:pt idx="9">
                  <c:v>5678169.6189999999</c:v>
                </c:pt>
                <c:pt idx="10">
                  <c:v>4157584.6568999961</c:v>
                </c:pt>
                <c:pt idx="11">
                  <c:v>5398212.0219999971</c:v>
                </c:pt>
                <c:pt idx="12">
                  <c:v>46348.191399999996</c:v>
                </c:pt>
              </c:numCache>
            </c:numRef>
          </c:val>
          <c:smooth val="0"/>
          <c:extLst>
            <c:ext xmlns:c16="http://schemas.microsoft.com/office/drawing/2014/chart" uri="{C3380CC4-5D6E-409C-BE32-E72D297353CC}">
              <c16:uniqueId val="{00000000-7418-45E2-9295-5C6ADFAF0C46}"/>
            </c:ext>
          </c:extLst>
        </c:ser>
        <c:dLbls>
          <c:showLegendKey val="0"/>
          <c:showVal val="0"/>
          <c:showCatName val="0"/>
          <c:showSerName val="0"/>
          <c:showPercent val="0"/>
          <c:showBubbleSize val="0"/>
        </c:dLbls>
        <c:marker val="1"/>
        <c:smooth val="0"/>
        <c:axId val="869963152"/>
        <c:axId val="869963632"/>
      </c:lineChart>
      <c:lineChart>
        <c:grouping val="standard"/>
        <c:varyColors val="0"/>
        <c:ser>
          <c:idx val="1"/>
          <c:order val="1"/>
          <c:tx>
            <c:strRef>
              <c:f>'Monthly Sales &amp; Profit'!$C$4</c:f>
              <c:strCache>
                <c:ptCount val="1"/>
                <c:pt idx="0">
                  <c:v>Total Profit / Loss (₹)</c:v>
                </c:pt>
              </c:strCache>
            </c:strRef>
          </c:tx>
          <c:spPr>
            <a:ln w="28575" cap="rnd">
              <a:solidFill>
                <a:schemeClr val="accent4"/>
              </a:solidFill>
              <a:round/>
            </a:ln>
            <a:effectLst/>
          </c:spPr>
          <c:marker>
            <c:symbol val="circle"/>
            <c:size val="6"/>
            <c:spPr>
              <a:solidFill>
                <a:schemeClr val="accent4"/>
              </a:solidFill>
              <a:ln>
                <a:noFill/>
              </a:ln>
              <a:effectLst/>
            </c:spPr>
          </c:marker>
          <c:trendline>
            <c:spPr>
              <a:ln w="19050" cap="rnd">
                <a:solidFill>
                  <a:schemeClr val="accent4"/>
                </a:solidFill>
              </a:ln>
              <a:effectLst/>
            </c:spPr>
            <c:trendlineType val="linear"/>
            <c:dispRSqr val="0"/>
            <c:dispEq val="0"/>
          </c:trendline>
          <c:cat>
            <c:multiLvlStrRef>
              <c:f>'Monthly Sales &amp; Profit'!$A$5:$A$20</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'Monthly Sales &amp; Profit'!$C$5:$C$20</c:f>
              <c:numCache>
                <c:formatCode>_("₹"* #,##0.00_);_("₹"* \(#,##0.00\);_("₹"* "-"??_);_(@_)</c:formatCode>
                <c:ptCount val="13"/>
                <c:pt idx="0">
                  <c:v>-397015.69150000211</c:v>
                </c:pt>
                <c:pt idx="1">
                  <c:v>-487174.87260000105</c:v>
                </c:pt>
                <c:pt idx="2">
                  <c:v>-367957.63740000268</c:v>
                </c:pt>
                <c:pt idx="3">
                  <c:v>-454291.16300000128</c:v>
                </c:pt>
                <c:pt idx="4">
                  <c:v>-432892.57330000179</c:v>
                </c:pt>
                <c:pt idx="5">
                  <c:v>-240457.03110000223</c:v>
                </c:pt>
                <c:pt idx="6">
                  <c:v>-300173.34920000151</c:v>
                </c:pt>
                <c:pt idx="7">
                  <c:v>-432783.17850000097</c:v>
                </c:pt>
                <c:pt idx="8">
                  <c:v>-248881.96900000193</c:v>
                </c:pt>
                <c:pt idx="9">
                  <c:v>-297756.94100000151</c:v>
                </c:pt>
                <c:pt idx="10">
                  <c:v>-243533.47310000219</c:v>
                </c:pt>
                <c:pt idx="11">
                  <c:v>-261633.21800000223</c:v>
                </c:pt>
                <c:pt idx="12">
                  <c:v>8630.7414000000008</c:v>
                </c:pt>
              </c:numCache>
            </c:numRef>
          </c:val>
          <c:smooth val="0"/>
          <c:extLst>
            <c:ext xmlns:c16="http://schemas.microsoft.com/office/drawing/2014/chart" uri="{C3380CC4-5D6E-409C-BE32-E72D297353CC}">
              <c16:uniqueId val="{00000001-7418-45E2-9295-5C6ADFAF0C46}"/>
            </c:ext>
          </c:extLst>
        </c:ser>
        <c:dLbls>
          <c:showLegendKey val="0"/>
          <c:showVal val="0"/>
          <c:showCatName val="0"/>
          <c:showSerName val="0"/>
          <c:showPercent val="0"/>
          <c:showBubbleSize val="0"/>
        </c:dLbls>
        <c:marker val="1"/>
        <c:smooth val="0"/>
        <c:axId val="1771353488"/>
        <c:axId val="1771355888"/>
      </c:lineChart>
      <c:catAx>
        <c:axId val="8699631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963632"/>
        <c:crosses val="autoZero"/>
        <c:auto val="1"/>
        <c:lblAlgn val="ctr"/>
        <c:lblOffset val="100"/>
        <c:noMultiLvlLbl val="0"/>
      </c:catAx>
      <c:valAx>
        <c:axId val="869963632"/>
        <c:scaling>
          <c:orientation val="minMax"/>
        </c:scaling>
        <c:delete val="0"/>
        <c:axPos val="l"/>
        <c:majorGridlines>
          <c:spPr>
            <a:ln>
              <a:solidFill>
                <a:schemeClr val="tx1">
                  <a:lumMod val="15000"/>
                  <a:lumOff val="85000"/>
                </a:schemeClr>
              </a:solidFill>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963152"/>
        <c:crosses val="autoZero"/>
        <c:crossBetween val="between"/>
      </c:valAx>
      <c:valAx>
        <c:axId val="1771355888"/>
        <c:scaling>
          <c:orientation val="minMax"/>
        </c:scaling>
        <c:delete val="0"/>
        <c:axPos val="r"/>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353488"/>
        <c:crosses val="max"/>
        <c:crossBetween val="between"/>
      </c:valAx>
      <c:catAx>
        <c:axId val="1771353488"/>
        <c:scaling>
          <c:orientation val="minMax"/>
        </c:scaling>
        <c:delete val="1"/>
        <c:axPos val="b"/>
        <c:numFmt formatCode="General" sourceLinked="1"/>
        <c:majorTickMark val="none"/>
        <c:minorTickMark val="none"/>
        <c:tickLblPos val="nextTo"/>
        <c:crossAx val="17713558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Gap Analysis &amp; Turnaround Strategy.xlsx]Product-wise Performance!PivotTable5</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'Product-wise Performance'!$B$1</c:f>
              <c:strCache>
                <c:ptCount val="1"/>
                <c:pt idx="0">
                  <c:v>Sales (₹)</c:v>
                </c:pt>
              </c:strCache>
            </c:strRef>
          </c:tx>
          <c:spPr>
            <a:solidFill>
              <a:schemeClr val="accent1"/>
            </a:solidFill>
            <a:ln>
              <a:noFill/>
            </a:ln>
            <a:effectLst/>
          </c:spPr>
          <c:invertIfNegative val="0"/>
          <c:cat>
            <c:strRef>
              <c:f>'Product-wise Performance'!$A$2:$A$6</c:f>
              <c:strCache>
                <c:ptCount val="4"/>
                <c:pt idx="0">
                  <c:v>Clothing</c:v>
                </c:pt>
                <c:pt idx="1">
                  <c:v>Electronics</c:v>
                </c:pt>
                <c:pt idx="2">
                  <c:v>Food</c:v>
                </c:pt>
                <c:pt idx="3">
                  <c:v>Furniture</c:v>
                </c:pt>
              </c:strCache>
            </c:strRef>
          </c:cat>
          <c:val>
            <c:numRef>
              <c:f>'Product-wise Performance'!$B$2:$B$6</c:f>
              <c:numCache>
                <c:formatCode>_("₹"* #,##0.00_);_("₹"* \(#,##0.00\);_("₹"* "-"??_);_(@_)</c:formatCode>
                <c:ptCount val="4"/>
                <c:pt idx="0">
                  <c:v>16360844.624699989</c:v>
                </c:pt>
                <c:pt idx="1">
                  <c:v>15153225.285399994</c:v>
                </c:pt>
                <c:pt idx="2">
                  <c:v>12808326.230799999</c:v>
                </c:pt>
                <c:pt idx="3">
                  <c:v>15363777.142799998</c:v>
                </c:pt>
              </c:numCache>
            </c:numRef>
          </c:val>
          <c:extLst>
            <c:ext xmlns:c16="http://schemas.microsoft.com/office/drawing/2014/chart" uri="{C3380CC4-5D6E-409C-BE32-E72D297353CC}">
              <c16:uniqueId val="{00000000-B6E1-4C8B-AD17-B00605BF8FD7}"/>
            </c:ext>
          </c:extLst>
        </c:ser>
        <c:ser>
          <c:idx val="1"/>
          <c:order val="1"/>
          <c:tx>
            <c:strRef>
              <c:f>'Product-wise Performance'!$C$1</c:f>
              <c:strCache>
                <c:ptCount val="1"/>
                <c:pt idx="0">
                  <c:v>Profit/Loss (₹)</c:v>
                </c:pt>
              </c:strCache>
            </c:strRef>
          </c:tx>
          <c:spPr>
            <a:solidFill>
              <a:schemeClr val="accent2"/>
            </a:solidFill>
            <a:ln>
              <a:noFill/>
            </a:ln>
            <a:effectLst/>
          </c:spPr>
          <c:invertIfNegative val="0"/>
          <c:cat>
            <c:strRef>
              <c:f>'Product-wise Performance'!$A$2:$A$6</c:f>
              <c:strCache>
                <c:ptCount val="4"/>
                <c:pt idx="0">
                  <c:v>Clothing</c:v>
                </c:pt>
                <c:pt idx="1">
                  <c:v>Electronics</c:v>
                </c:pt>
                <c:pt idx="2">
                  <c:v>Food</c:v>
                </c:pt>
                <c:pt idx="3">
                  <c:v>Furniture</c:v>
                </c:pt>
              </c:strCache>
            </c:strRef>
          </c:cat>
          <c:val>
            <c:numRef>
              <c:f>'Product-wise Performance'!$C$2:$C$6</c:f>
              <c:numCache>
                <c:formatCode>_("₹"* #,##0.00_);_("₹"* \(#,##0.00\);_("₹"* "-"??_);_(@_)</c:formatCode>
                <c:ptCount val="4"/>
                <c:pt idx="0">
                  <c:v>-1212931.5053000054</c:v>
                </c:pt>
                <c:pt idx="1">
                  <c:v>-843495.22460000473</c:v>
                </c:pt>
                <c:pt idx="2">
                  <c:v>-912451.3692000045</c:v>
                </c:pt>
                <c:pt idx="3">
                  <c:v>-1187042.2572000062</c:v>
                </c:pt>
              </c:numCache>
            </c:numRef>
          </c:val>
          <c:extLst>
            <c:ext xmlns:c16="http://schemas.microsoft.com/office/drawing/2014/chart" uri="{C3380CC4-5D6E-409C-BE32-E72D297353CC}">
              <c16:uniqueId val="{00000001-B6E1-4C8B-AD17-B00605BF8FD7}"/>
            </c:ext>
          </c:extLst>
        </c:ser>
        <c:dLbls>
          <c:showLegendKey val="0"/>
          <c:showVal val="0"/>
          <c:showCatName val="0"/>
          <c:showSerName val="0"/>
          <c:showPercent val="0"/>
          <c:showBubbleSize val="0"/>
        </c:dLbls>
        <c:gapWidth val="219"/>
        <c:overlap val="-27"/>
        <c:axId val="871787936"/>
        <c:axId val="871786016"/>
      </c:barChart>
      <c:catAx>
        <c:axId val="87178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786016"/>
        <c:crosses val="autoZero"/>
        <c:auto val="1"/>
        <c:lblAlgn val="ctr"/>
        <c:lblOffset val="100"/>
        <c:noMultiLvlLbl val="0"/>
      </c:catAx>
      <c:valAx>
        <c:axId val="8717860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78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Gap Analysis &amp; Turnaround Strategy.xlsx]Region-wise Analysis!PivotTable7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'Region-wise Analysis'!$B$4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0D-4315-A120-1E03EA0F46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0D-4315-A120-1E03EA0F46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0D-4315-A120-1E03EA0F46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0D-4315-A120-1E03EA0F46B8}"/>
              </c:ext>
            </c:extLst>
          </c:dPt>
          <c:cat>
            <c:strRef>
              <c:f>'Region-wise Analysis'!$A$5:$A$9</c:f>
              <c:strCache>
                <c:ptCount val="4"/>
                <c:pt idx="0">
                  <c:v>East</c:v>
                </c:pt>
                <c:pt idx="1">
                  <c:v>North</c:v>
                </c:pt>
                <c:pt idx="2">
                  <c:v>South</c:v>
                </c:pt>
                <c:pt idx="3">
                  <c:v>West</c:v>
                </c:pt>
              </c:strCache>
            </c:strRef>
          </c:cat>
          <c:val>
            <c:numRef>
              <c:f>'Region-wise Analysis'!$B$5:$B$9</c:f>
              <c:numCache>
                <c:formatCode>_("₹"* #,##0.00_);_("₹"* \(#,##0.00\);_("₹"* "-"??_);_(@_)</c:formatCode>
                <c:ptCount val="4"/>
                <c:pt idx="0">
                  <c:v>15202282.224599993</c:v>
                </c:pt>
                <c:pt idx="1">
                  <c:v>15570342.181999993</c:v>
                </c:pt>
                <c:pt idx="2">
                  <c:v>13894660.279499989</c:v>
                </c:pt>
                <c:pt idx="3">
                  <c:v>15018888.597600002</c:v>
                </c:pt>
              </c:numCache>
            </c:numRef>
          </c:val>
          <c:extLst>
            <c:ext xmlns:c16="http://schemas.microsoft.com/office/drawing/2014/chart" uri="{C3380CC4-5D6E-409C-BE32-E72D297353CC}">
              <c16:uniqueId val="{00000000-498A-4784-B2BD-9A9A34A6B7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Gap Analysis &amp; Turnaround Strategy.xlsx]Sheet2!PivotTable1</c:name>
    <c:fmtId val="1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Sum of Price after discount</c:v>
                </c:pt>
              </c:strCache>
            </c:strRef>
          </c:tx>
          <c:spPr>
            <a:ln w="28575" cap="rnd">
              <a:solidFill>
                <a:schemeClr val="accent1"/>
              </a:solidFill>
              <a:round/>
            </a:ln>
            <a:effectLst/>
          </c:spPr>
          <c:marker>
            <c:symbol val="none"/>
          </c:marker>
          <c:cat>
            <c:strRef>
              <c:f>Sheet2!$A$2:$A$6</c:f>
              <c:strCache>
                <c:ptCount val="4"/>
                <c:pt idx="0">
                  <c:v>Clothing</c:v>
                </c:pt>
                <c:pt idx="1">
                  <c:v>Electronics</c:v>
                </c:pt>
                <c:pt idx="2">
                  <c:v>Food</c:v>
                </c:pt>
                <c:pt idx="3">
                  <c:v>Furniture</c:v>
                </c:pt>
              </c:strCache>
            </c:strRef>
          </c:cat>
          <c:val>
            <c:numRef>
              <c:f>Sheet2!$B$2:$B$6</c:f>
              <c:numCache>
                <c:formatCode>_("₹"* #,##0.00_);_("₹"* \(#,##0.00\);_("₹"* "-"??_);_(@_)</c:formatCode>
                <c:ptCount val="4"/>
                <c:pt idx="0">
                  <c:v>16360844.624699989</c:v>
                </c:pt>
                <c:pt idx="1">
                  <c:v>15153225.285399994</c:v>
                </c:pt>
                <c:pt idx="2">
                  <c:v>12808326.230799999</c:v>
                </c:pt>
                <c:pt idx="3">
                  <c:v>15363777.142799998</c:v>
                </c:pt>
              </c:numCache>
            </c:numRef>
          </c:val>
          <c:smooth val="0"/>
          <c:extLst>
            <c:ext xmlns:c16="http://schemas.microsoft.com/office/drawing/2014/chart" uri="{C3380CC4-5D6E-409C-BE32-E72D297353CC}">
              <c16:uniqueId val="{00000000-362E-4CED-948C-CB2A92E9C429}"/>
            </c:ext>
          </c:extLst>
        </c:ser>
        <c:dLbls>
          <c:showLegendKey val="0"/>
          <c:showVal val="0"/>
          <c:showCatName val="0"/>
          <c:showSerName val="0"/>
          <c:showPercent val="0"/>
          <c:showBubbleSize val="0"/>
        </c:dLbls>
        <c:marker val="1"/>
        <c:smooth val="0"/>
        <c:axId val="175722432"/>
        <c:axId val="175722912"/>
      </c:lineChart>
      <c:lineChart>
        <c:grouping val="standard"/>
        <c:varyColors val="0"/>
        <c:ser>
          <c:idx val="1"/>
          <c:order val="1"/>
          <c:tx>
            <c:strRef>
              <c:f>Sheet2!$C$1</c:f>
              <c:strCache>
                <c:ptCount val="1"/>
                <c:pt idx="0">
                  <c:v>Sum of Total Amount after sale</c:v>
                </c:pt>
              </c:strCache>
            </c:strRef>
          </c:tx>
          <c:spPr>
            <a:ln w="28575" cap="rnd">
              <a:solidFill>
                <a:schemeClr val="accent2"/>
              </a:solidFill>
              <a:round/>
            </a:ln>
            <a:effectLst/>
          </c:spPr>
          <c:marker>
            <c:symbol val="none"/>
          </c:marker>
          <c:cat>
            <c:strRef>
              <c:f>Sheet2!$A$2:$A$6</c:f>
              <c:strCache>
                <c:ptCount val="4"/>
                <c:pt idx="0">
                  <c:v>Clothing</c:v>
                </c:pt>
                <c:pt idx="1">
                  <c:v>Electronics</c:v>
                </c:pt>
                <c:pt idx="2">
                  <c:v>Food</c:v>
                </c:pt>
                <c:pt idx="3">
                  <c:v>Furniture</c:v>
                </c:pt>
              </c:strCache>
            </c:strRef>
          </c:cat>
          <c:val>
            <c:numRef>
              <c:f>Sheet2!$C$2:$C$6</c:f>
              <c:numCache>
                <c:formatCode>_("₹"* #,##0.00_);_("₹"* \(#,##0.00\);_("₹"* "-"??_);_(@_)</c:formatCode>
                <c:ptCount val="4"/>
                <c:pt idx="0">
                  <c:v>-1212931.5053000054</c:v>
                </c:pt>
                <c:pt idx="1">
                  <c:v>-843495.22460000473</c:v>
                </c:pt>
                <c:pt idx="2">
                  <c:v>-912451.3692000045</c:v>
                </c:pt>
                <c:pt idx="3">
                  <c:v>-1187042.2572000062</c:v>
                </c:pt>
              </c:numCache>
            </c:numRef>
          </c:val>
          <c:smooth val="0"/>
          <c:extLst>
            <c:ext xmlns:c16="http://schemas.microsoft.com/office/drawing/2014/chart" uri="{C3380CC4-5D6E-409C-BE32-E72D297353CC}">
              <c16:uniqueId val="{00000001-362E-4CED-948C-CB2A92E9C429}"/>
            </c:ext>
          </c:extLst>
        </c:ser>
        <c:dLbls>
          <c:showLegendKey val="0"/>
          <c:showVal val="0"/>
          <c:showCatName val="0"/>
          <c:showSerName val="0"/>
          <c:showPercent val="0"/>
          <c:showBubbleSize val="0"/>
        </c:dLbls>
        <c:marker val="1"/>
        <c:smooth val="0"/>
        <c:axId val="112722848"/>
        <c:axId val="13780576"/>
      </c:lineChart>
      <c:catAx>
        <c:axId val="17572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2912"/>
        <c:crosses val="autoZero"/>
        <c:auto val="1"/>
        <c:lblAlgn val="ctr"/>
        <c:lblOffset val="100"/>
        <c:noMultiLvlLbl val="0"/>
      </c:catAx>
      <c:valAx>
        <c:axId val="1757229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2432"/>
        <c:crosses val="autoZero"/>
        <c:crossBetween val="between"/>
      </c:valAx>
      <c:valAx>
        <c:axId val="13780576"/>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2848"/>
        <c:crosses val="max"/>
        <c:crossBetween val="between"/>
      </c:valAx>
      <c:catAx>
        <c:axId val="112722848"/>
        <c:scaling>
          <c:orientation val="minMax"/>
        </c:scaling>
        <c:delete val="1"/>
        <c:axPos val="b"/>
        <c:numFmt formatCode="General" sourceLinked="1"/>
        <c:majorTickMark val="out"/>
        <c:minorTickMark val="none"/>
        <c:tickLblPos val="nextTo"/>
        <c:crossAx val="13780576"/>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146762</xdr:colOff>
      <xdr:row>16</xdr:row>
      <xdr:rowOff>177451</xdr:rowOff>
    </xdr:from>
    <xdr:to>
      <xdr:col>17</xdr:col>
      <xdr:colOff>542793</xdr:colOff>
      <xdr:row>35</xdr:row>
      <xdr:rowOff>160855</xdr:rowOff>
    </xdr:to>
    <xdr:graphicFrame macro="">
      <xdr:nvGraphicFramePr>
        <xdr:cNvPr id="5" name="Chart 4">
          <a:extLst>
            <a:ext uri="{FF2B5EF4-FFF2-40B4-BE49-F238E27FC236}">
              <a16:creationId xmlns:a16="http://schemas.microsoft.com/office/drawing/2014/main" id="{C8CE6FC8-6F5D-4981-E427-4D69EF24E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375780</xdr:colOff>
      <xdr:row>4</xdr:row>
      <xdr:rowOff>114300</xdr:rowOff>
    </xdr:from>
    <xdr:to>
      <xdr:col>20</xdr:col>
      <xdr:colOff>10439</xdr:colOff>
      <xdr:row>14</xdr:row>
      <xdr:rowOff>20876</xdr:rowOff>
    </xdr:to>
    <xdr:sp macro="" textlink="">
      <xdr:nvSpPr>
        <xdr:cNvPr id="2" name="TextBox 1">
          <a:extLst>
            <a:ext uri="{FF2B5EF4-FFF2-40B4-BE49-F238E27FC236}">
              <a16:creationId xmlns:a16="http://schemas.microsoft.com/office/drawing/2014/main" id="{3006C6CE-1A63-5722-8C6D-A486EA2322E8}"/>
            </a:ext>
          </a:extLst>
        </xdr:cNvPr>
        <xdr:cNvSpPr txBox="1"/>
      </xdr:nvSpPr>
      <xdr:spPr>
        <a:xfrm>
          <a:off x="5375753" y="865862"/>
          <a:ext cx="10093891" cy="1785480"/>
        </a:xfrm>
        <a:prstGeom prst="rect">
          <a:avLst/>
        </a:prstGeom>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 Critical Insight: Pricing Strategy Failure</a:t>
          </a:r>
          <a:r>
            <a:rPr lang="en-IN" sz="1800">
              <a:solidFill>
                <a:schemeClr val="tx1"/>
              </a:solidFill>
            </a:rPr>
            <a:t> The primary driver of the </a:t>
          </a:r>
          <a:r>
            <a:rPr lang="en-IN" sz="1800" b="1">
              <a:solidFill>
                <a:schemeClr val="tx1"/>
              </a:solidFill>
            </a:rPr>
            <a:t>₹41.5 Lakh Net Loss</a:t>
          </a:r>
          <a:r>
            <a:rPr lang="en-IN" sz="1800">
              <a:solidFill>
                <a:schemeClr val="tx1"/>
              </a:solidFill>
            </a:rPr>
            <a:t> is a misalignment between pricing and discounts.</a:t>
          </a:r>
        </a:p>
        <a:p>
          <a:r>
            <a:rPr lang="en-IN" sz="1800" b="1">
              <a:solidFill>
                <a:schemeClr val="tx1"/>
              </a:solidFill>
            </a:rPr>
            <a:t>Avg. Product Margin:</a:t>
          </a:r>
          <a:r>
            <a:rPr lang="en-IN" sz="1800">
              <a:solidFill>
                <a:schemeClr val="tx1"/>
              </a:solidFill>
            </a:rPr>
            <a:t> 9.3%</a:t>
          </a:r>
        </a:p>
        <a:p>
          <a:r>
            <a:rPr lang="en-IN" sz="1800" b="1">
              <a:solidFill>
                <a:schemeClr val="tx1"/>
              </a:solidFill>
            </a:rPr>
            <a:t>Avg. Discount Given:</a:t>
          </a:r>
          <a:r>
            <a:rPr lang="en-IN" sz="1800">
              <a:solidFill>
                <a:schemeClr val="tx1"/>
              </a:solidFill>
            </a:rPr>
            <a:t> 15.2%</a:t>
          </a:r>
        </a:p>
        <a:p>
          <a:r>
            <a:rPr lang="en-IN" sz="1800" b="1">
              <a:solidFill>
                <a:schemeClr val="tx1"/>
              </a:solidFill>
            </a:rPr>
            <a:t>Result:</a:t>
          </a:r>
          <a:r>
            <a:rPr lang="en-IN" sz="1800">
              <a:solidFill>
                <a:schemeClr val="tx1"/>
              </a:solidFill>
            </a:rPr>
            <a:t> We are losing ~6% on every transaction because discounts consistently exceed our profit margins.</a:t>
          </a:r>
        </a:p>
        <a:p>
          <a:endParaRPr lang="en-IN" sz="12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431391</xdr:colOff>
      <xdr:row>4</xdr:row>
      <xdr:rowOff>32775</xdr:rowOff>
    </xdr:from>
    <xdr:to>
      <xdr:col>14</xdr:col>
      <xdr:colOff>376903</xdr:colOff>
      <xdr:row>28</xdr:row>
      <xdr:rowOff>131097</xdr:rowOff>
    </xdr:to>
    <xdr:graphicFrame macro="">
      <xdr:nvGraphicFramePr>
        <xdr:cNvPr id="2" name="Chart 1">
          <a:extLst>
            <a:ext uri="{FF2B5EF4-FFF2-40B4-BE49-F238E27FC236}">
              <a16:creationId xmlns:a16="http://schemas.microsoft.com/office/drawing/2014/main" id="{CAE6CC12-C1FB-DC01-F1D2-E91C7E7B3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1303020</xdr:colOff>
      <xdr:row>7</xdr:row>
      <xdr:rowOff>83820</xdr:rowOff>
    </xdr:from>
    <xdr:to>
      <xdr:col>9</xdr:col>
      <xdr:colOff>327660</xdr:colOff>
      <xdr:row>22</xdr:row>
      <xdr:rowOff>83820</xdr:rowOff>
    </xdr:to>
    <xdr:graphicFrame macro="">
      <xdr:nvGraphicFramePr>
        <xdr:cNvPr id="4" name="Chart 3">
          <a:extLst>
            <a:ext uri="{FF2B5EF4-FFF2-40B4-BE49-F238E27FC236}">
              <a16:creationId xmlns:a16="http://schemas.microsoft.com/office/drawing/2014/main" id="{860085FD-88B6-CAD0-A486-5308EEDEA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226695</xdr:colOff>
      <xdr:row>2</xdr:row>
      <xdr:rowOff>131446</xdr:rowOff>
    </xdr:from>
    <xdr:to>
      <xdr:col>4</xdr:col>
      <xdr:colOff>632460</xdr:colOff>
      <xdr:row>7</xdr:row>
      <xdr:rowOff>116206</xdr:rowOff>
    </xdr:to>
    <mc:AlternateContent xmlns:mc="http://schemas.openxmlformats.org/markup-compatibility/2006">
      <mc:Choice xmlns:a14="http://schemas.microsoft.com/office/drawing/2010/main" Requires="a14">
        <xdr:graphicFrame macro="">
          <xdr:nvGraphicFramePr>
            <xdr:cNvPr id="2" name="PROFIT/LOSS">
              <a:extLst>
                <a:ext uri="{FF2B5EF4-FFF2-40B4-BE49-F238E27FC236}">
                  <a16:creationId xmlns:a16="http://schemas.microsoft.com/office/drawing/2014/main" id="{3E428AAE-ED9E-ADC2-AF1C-3E8437DD9935}"/>
                </a:ext>
              </a:extLst>
            </xdr:cNvPr>
            <xdr:cNvGraphicFramePr/>
          </xdr:nvGraphicFramePr>
          <xdr:xfrm>
            <a:off x="0" y="0"/>
            <a:ext cx="0" cy="0"/>
          </xdr:xfrm>
          <a:graphic>
            <a:graphicData uri="http://schemas.microsoft.com/office/drawing/2010/slicer">
              <sle:slicer xmlns:sle="http://schemas.microsoft.com/office/drawing/2010/slicer" name="PROFIT/LOSS"/>
            </a:graphicData>
          </a:graphic>
        </xdr:graphicFrame>
      </mc:Choice>
      <mc:Fallback>
        <xdr:sp macro="" textlink="">
          <xdr:nvSpPr>
            <xdr:cNvPr id="0" name=""/>
            <xdr:cNvSpPr>
              <a:spLocks noTextEdit="1"/>
            </xdr:cNvSpPr>
          </xdr:nvSpPr>
          <xdr:spPr>
            <a:xfrm>
              <a:off x="4741545" y="493396"/>
              <a:ext cx="1824990" cy="889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584835</xdr:colOff>
      <xdr:row>9</xdr:row>
      <xdr:rowOff>142875</xdr:rowOff>
    </xdr:from>
    <xdr:to>
      <xdr:col>6</xdr:col>
      <xdr:colOff>276226</xdr:colOff>
      <xdr:row>31</xdr:row>
      <xdr:rowOff>9524</xdr:rowOff>
    </xdr:to>
    <xdr:graphicFrame macro="">
      <xdr:nvGraphicFramePr>
        <xdr:cNvPr id="3" name="Chart 2">
          <a:extLst>
            <a:ext uri="{FF2B5EF4-FFF2-40B4-BE49-F238E27FC236}">
              <a16:creationId xmlns:a16="http://schemas.microsoft.com/office/drawing/2014/main" id="{BAF798FE-2EA6-D266-DB8D-44538C0FA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361950</xdr:colOff>
      <xdr:row>17</xdr:row>
      <xdr:rowOff>66675</xdr:rowOff>
    </xdr:from>
    <xdr:to>
      <xdr:col>17</xdr:col>
      <xdr:colOff>428625</xdr:colOff>
      <xdr:row>26</xdr:row>
      <xdr:rowOff>47625</xdr:rowOff>
    </xdr:to>
    <xdr:sp macro="" textlink="">
      <xdr:nvSpPr>
        <xdr:cNvPr id="4" name="TextBox 3">
          <a:extLst>
            <a:ext uri="{FF2B5EF4-FFF2-40B4-BE49-F238E27FC236}">
              <a16:creationId xmlns:a16="http://schemas.microsoft.com/office/drawing/2014/main" id="{C18528D0-031C-3492-7601-B91AA633F248}"/>
            </a:ext>
          </a:extLst>
        </xdr:cNvPr>
        <xdr:cNvSpPr txBox="1"/>
      </xdr:nvSpPr>
      <xdr:spPr>
        <a:xfrm>
          <a:off x="8810625" y="3143250"/>
          <a:ext cx="6162675" cy="16097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Turnaround Strategy (Recommendations)</a:t>
          </a:r>
          <a:r>
            <a:rPr lang="en-IN" sz="1400"/>
            <a:t> To return to profitability immediately, we must:</a:t>
          </a:r>
        </a:p>
        <a:p>
          <a:r>
            <a:rPr lang="en-IN" sz="1400" b="1"/>
            <a:t>Cap Discounts:</a:t>
          </a:r>
          <a:r>
            <a:rPr lang="en-IN" sz="1400"/>
            <a:t> Implement a strict </a:t>
          </a:r>
          <a:r>
            <a:rPr lang="en-IN" sz="1400" b="1"/>
            <a:t>10% maximum discount</a:t>
          </a:r>
          <a:r>
            <a:rPr lang="en-IN" sz="1400"/>
            <a:t> policy.</a:t>
          </a:r>
        </a:p>
        <a:p>
          <a:r>
            <a:rPr lang="en-IN" sz="1400" b="1"/>
            <a:t>Retrain Staff:</a:t>
          </a:r>
          <a:r>
            <a:rPr lang="en-IN" sz="1400"/>
            <a:t> Audit high-discount sales reps (e.g., David at 16.5%).</a:t>
          </a:r>
        </a:p>
        <a:p>
          <a:r>
            <a:rPr lang="en-IN" sz="1400" b="1"/>
            <a:t>Shift Focus:</a:t>
          </a:r>
          <a:r>
            <a:rPr lang="en-IN" sz="1400"/>
            <a:t> Prioritize transactions with &lt;5% discount, which currently generate </a:t>
          </a:r>
          <a:r>
            <a:rPr lang="en-IN" sz="1400" b="1"/>
            <a:t>+₹4,800 profit</a:t>
          </a:r>
          <a:r>
            <a:rPr lang="en-IN" sz="1400"/>
            <a:t> per sale</a:t>
          </a:r>
          <a:r>
            <a:rPr lang="en-IN"/>
            <a:t>.</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nani" refreshedDate="46052.122760300925" createdVersion="8" refreshedVersion="8" minRefreshableVersion="3" recordCount="1000" xr:uid="{E4C845DB-624F-44D6-836C-F111382ADD9A}">
  <cacheSource type="worksheet">
    <worksheetSource name="Table1"/>
  </cacheSource>
  <cacheFields count="24">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Month_Date" numFmtId="14">
      <sharedItems containsSemiMixedTypes="0" containsNonDate="0" containsDate="1" containsString="0" minDate="2023-01-01T00:00:00" maxDate="2024-01-02T00:00:00" count="13">
        <d v="2023-01-01T00:00:00"/>
        <d v="2023-02-01T00:00:00"/>
        <d v="2023-03-01T00:00:00"/>
        <d v="2023-04-01T00:00:00"/>
        <d v="2023-05-01T00:00:00"/>
        <d v="2023-06-01T00:00:00"/>
        <d v="2023-07-01T00:00:00"/>
        <d v="2023-08-01T00:00:00"/>
        <d v="2023-09-01T00:00:00"/>
        <d v="2023-10-01T00:00:00"/>
        <d v="2023-11-01T00:00:00"/>
        <d v="2023-12-01T00:00:00"/>
        <d v="2024-01-01T00:00:00"/>
      </sharedItems>
      <fieldGroup par="21"/>
    </cacheField>
    <cacheField name="Sales_Rep" numFmtId="0">
      <sharedItems/>
    </cacheField>
    <cacheField name="Region" numFmtId="0">
      <sharedItems count="4">
        <s v="North"/>
        <s v="South"/>
        <s v="West"/>
        <s v="East"/>
      </sharedItems>
    </cacheField>
    <cacheField name="Sales_Amount" numFmtId="44">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Clothing"/>
        <s v="Furniture"/>
        <s v="Electronics"/>
        <s v="Food"/>
      </sharedItems>
    </cacheField>
    <cacheField name="Unit_Cost" numFmtId="44">
      <sharedItems containsSemiMixedTypes="0" containsString="0" containsNumber="1" minValue="60.28" maxValue="4995.3"/>
    </cacheField>
    <cacheField name="Unit_Price" numFmtId="44">
      <sharedItems containsSemiMixedTypes="0" containsString="0" containsNumber="1" minValue="167.12" maxValue="5442.15"/>
    </cacheField>
    <cacheField name="Customer_Type" numFmtId="0">
      <sharedItems/>
    </cacheField>
    <cacheField name="Discount" numFmtId="2">
      <sharedItems containsSemiMixedTypes="0" containsString="0" containsNumber="1" minValue="0" maxValue="0.3" count="31">
        <n v="0.05"/>
        <n v="0.14000000000000001"/>
        <n v="0.25"/>
        <n v="0.2"/>
        <n v="0"/>
        <n v="0.21"/>
        <n v="0.24"/>
        <n v="0.12"/>
        <n v="0.1"/>
        <n v="7.0000000000000007E-2"/>
        <n v="0.27"/>
        <n v="0.03"/>
        <n v="0.26"/>
        <n v="0.3"/>
        <n v="0.28999999999999998"/>
        <n v="0.17"/>
        <n v="0.11"/>
        <n v="0.04"/>
        <n v="0.01"/>
        <n v="0.08"/>
        <n v="0.15"/>
        <n v="0.02"/>
        <n v="0.06"/>
        <n v="0.22"/>
        <n v="0.23"/>
        <n v="0.16"/>
        <n v="0.09"/>
        <n v="0.28000000000000003"/>
        <n v="0.19"/>
        <n v="0.13"/>
        <n v="0.18"/>
      </sharedItems>
    </cacheField>
    <cacheField name="Payment_Method" numFmtId="0">
      <sharedItems/>
    </cacheField>
    <cacheField name="Sales_Channel" numFmtId="0">
      <sharedItems count="2">
        <s v="Online"/>
        <s v="Retail"/>
      </sharedItems>
    </cacheField>
    <cacheField name="Region_and_Sales_Rep" numFmtId="0">
      <sharedItems count="20">
        <s v="North-Eve"/>
        <s v="North-Charlie"/>
        <s v="South-Eve"/>
        <s v="South-David"/>
        <s v="West-David"/>
        <s v="East-Bob"/>
        <s v="East-Charlie"/>
        <s v="East-Eve"/>
        <s v="South-Bob"/>
        <s v="East-Alice"/>
        <s v="North-Bob"/>
        <s v="West-Eve"/>
        <s v="East-David"/>
        <s v="North-Alice"/>
        <s v="West-Charlie"/>
        <s v="South-Alice"/>
        <s v="West-Alice"/>
        <s v="South-Charlie"/>
        <s v="West-Bob"/>
        <s v="North-David"/>
      </sharedItems>
    </cacheField>
    <cacheField name="Price after discount" numFmtId="44">
      <sharedItems containsSemiMixedTypes="0" containsString="0" containsNumber="1" minValue="154.16140000000001" maxValue="249625.88639999996"/>
    </cacheField>
    <cacheField name="Total Amount after sale" numFmtId="44">
      <sharedItems containsSemiMixedTypes="0" containsString="0" containsNumber="1" minValue="-54935.73" maxValue="20832.446399999986" count="1000">
        <n v="7084.6440000000039"/>
        <n v="-12913.88000000001"/>
        <n v="-204.69000000000005"/>
        <n v="-4162.2600000000011"/>
        <n v="576.68000000000757"/>
        <n v="-28228.817000000014"/>
        <n v="-13534.744000000001"/>
        <n v="5054.5800000000036"/>
        <n v="-2994.7040000000015"/>
        <n v="-4857.7479999999996"/>
        <n v="-4302.9430999999995"/>
        <n v="17250.100000000002"/>
        <n v="822.78880000000026"/>
        <n v="-12332.623799999998"/>
        <n v="12808.787199999999"/>
        <n v="203.2195999999999"/>
        <n v="-7712.1880000000019"/>
        <n v="-9826.4279999999962"/>
        <n v="-19286.151000000005"/>
        <n v="-2421.2079000000031"/>
        <n v="-926.70000000000027"/>
        <n v="5926.0800000000008"/>
        <n v="-816.00840000000198"/>
        <n v="946.67719999999997"/>
        <n v="6360.2063999996863"/>
        <n v="-79.705600000034792"/>
        <n v="14477.126399999952"/>
        <n v="927.2255999999993"/>
        <n v="9250.7767000000094"/>
        <n v="-9797.5679999999993"/>
        <n v="-6571.2195999999967"/>
        <n v="1634.5759999999973"/>
        <n v="-7189.1600000000035"/>
        <n v="8384.1275000000005"/>
        <n v="-4875.1249999999982"/>
        <n v="-23152.599200000011"/>
        <n v="-1220.2680000000014"/>
        <n v="-517.31020000000217"/>
        <n v="544.36199999999735"/>
        <n v="-32717.610000000008"/>
        <n v="3037.8389999999927"/>
        <n v="-9032.2470000000012"/>
        <n v="-10547.327000000008"/>
        <n v="12848.446000000007"/>
        <n v="5122.1352000000034"/>
        <n v="-3338.5943000000029"/>
        <n v="2418.2652000000044"/>
        <n v="-1439.4144000000051"/>
        <n v="-5032.3356000000003"/>
        <n v="14467.076999999574"/>
        <n v="-7356.4999999999945"/>
        <n v="6803.8411999999998"/>
        <n v="-8464.3496000000068"/>
        <n v="6776.0573999999988"/>
        <n v="1071.0960000000005"/>
        <n v="-2569.6079999999893"/>
        <n v="874.22919999999999"/>
        <n v="4288.7899999998172"/>
        <n v="-5586.7725000000137"/>
        <n v="1082.4666000000002"/>
        <n v="-297.38399999999638"/>
        <n v="-4309.6409999999996"/>
        <n v="-3477.2111999999979"/>
        <n v="-3662.7584999999967"/>
        <n v="-11262.539200000007"/>
        <n v="1232.630000000001"/>
        <n v="-33543.040000000001"/>
        <n v="-11741.149999999989"/>
        <n v="-14860.435800000017"/>
        <n v="-22167.101199999997"/>
        <n v="332.90790000000061"/>
        <n v="-20222.652800000011"/>
        <n v="-3587.9379999999928"/>
        <n v="4062.9040000000032"/>
        <n v="-17110.248000000011"/>
        <n v="-599.33000000018524"/>
        <n v="-4184.676000000145"/>
        <n v="-1408.0175999999956"/>
        <n v="2523.0338999999967"/>
        <n v="-896.8300000000022"/>
        <n v="-1739.9839999999976"/>
        <n v="-11816.625600000021"/>
        <n v="-241.88640000000009"/>
        <n v="7111.1475999999984"/>
        <n v="-38596.007200000262"/>
        <n v="1146.75"/>
        <n v="-11324.649600000006"/>
        <n v="-2349.3779999999992"/>
        <n v="-27716.323899999985"/>
        <n v="-17011.290400000002"/>
        <n v="-470.70720000000256"/>
        <n v="12195.529999999999"/>
        <n v="-49.691199999994296"/>
        <n v="5592.6689999998334"/>
        <n v="1911.1800000000017"/>
        <n v="-9804.9015999999992"/>
        <n v="-8975.9775999999983"/>
        <n v="-4.752500000222426"/>
        <n v="1789.2291999999986"/>
        <n v="-38513.937599999997"/>
        <n v="-7378.4988000000003"/>
        <n v="7094.0556000000124"/>
        <n v="-1060.0139999999988"/>
        <n v="1627.5636000000004"/>
        <n v="-36314.783399999993"/>
        <n v="-3956.8830000000003"/>
        <n v="6926.6114999999972"/>
        <n v="950.45999999999981"/>
        <n v="-228.44879999999989"/>
        <n v="-28501.275599999997"/>
        <n v="-20832.526400000006"/>
        <n v="-14074.585200000209"/>
        <n v="-1795.2750000000094"/>
        <n v="4976.5255999999654"/>
        <n v="-20806.696399999997"/>
        <n v="4220.541000000002"/>
        <n v="-5758.3931999999995"/>
        <n v="246.30449999999962"/>
        <n v="207.45840000000021"/>
        <n v="-31319.084999999999"/>
        <n v="2404.1124000000032"/>
        <n v="-15950.61000000001"/>
        <n v="-17296.787199999999"/>
        <n v="-13898.881599999999"/>
        <n v="-760.33999999999651"/>
        <n v="-15992.07"/>
        <n v="-306.42540000000031"/>
        <n v="-13010.057599999993"/>
        <n v="-7791.869999999999"/>
        <n v="-5784.8644000000004"/>
        <n v="12303.800999999998"/>
        <n v="2807.5631999999973"/>
        <n v="8468.5859999996283"/>
        <n v="-13989.700400000009"/>
        <n v="-852.7071999999971"/>
        <n v="-4741.1520000000055"/>
        <n v="-11069.462800000001"/>
        <n v="5147.3279999999559"/>
        <n v="-2392.6239999999998"/>
        <n v="-1136.0997999999995"/>
        <n v="-3307.3871999999983"/>
        <n v="12532.185600000004"/>
        <n v="-10130.760000000355"/>
        <n v="-1529.6950000000008"/>
        <n v="-28409.431999999986"/>
        <n v="384.42290000000003"/>
        <n v="-14932.438399999995"/>
        <n v="5472.7392000000054"/>
        <n v="881.44739999997182"/>
        <n v="324.02150000000006"/>
        <n v="6961.0211999999974"/>
        <n v="7070.3374000000003"/>
        <n v="-37983.388499999979"/>
        <n v="7603.2039999999979"/>
        <n v="-1922.4867999999985"/>
        <n v="931.28320000000008"/>
        <n v="949.91749999999774"/>
        <n v="1580.9648000000088"/>
        <n v="-53938.642899999984"/>
        <n v="14282.888599999991"/>
        <n v="-20186.302400000004"/>
        <n v="-10612.496999999996"/>
        <n v="-73.951399999993555"/>
        <n v="-6278.1796000000022"/>
        <n v="551.52899999999136"/>
        <n v="-11411.834700000003"/>
        <n v="-6501.9300000000021"/>
        <n v="-25449.21"/>
        <n v="6917.5"/>
        <n v="-399.08250000000862"/>
        <n v="-963.92640000000074"/>
        <n v="-34852.860900000014"/>
        <n v="-1137.0968000000009"/>
        <n v="-7513.2348000000029"/>
        <n v="-36464.7912"/>
        <n v="-6481.2999999999975"/>
        <n v="-2926.1320000000069"/>
        <n v="-4913.3969999999899"/>
        <n v="-34186.042800000003"/>
        <n v="-35352.392400000281"/>
        <n v="-7136.1639999999989"/>
        <n v="-432.93200000000024"/>
        <n v="-1205.0048000000129"/>
        <n v="-2432.0831999999973"/>
        <n v="-2351.4800000000105"/>
        <n v="4243.5999999999985"/>
        <n v="1884.664499999999"/>
        <n v="3474.8854000000001"/>
        <n v="-2447.8636000000015"/>
        <n v="-314.4976999999999"/>
        <n v="466.94399999954476"/>
        <n v="-8832.5680000000011"/>
        <n v="8272.9079999996811"/>
        <n v="3114.5400000000009"/>
        <n v="6647.8579999997291"/>
        <n v="-4762.8800000000047"/>
        <n v="-7269.7819999999992"/>
        <n v="3487.8059999998045"/>
        <n v="-38578.154999999984"/>
        <n v="771.49499999999307"/>
        <n v="1618.2627999999982"/>
        <n v="-4282.6140000000123"/>
        <n v="371.06010000000009"/>
        <n v="-13971.804600000003"/>
        <n v="-5259.5303000000004"/>
        <n v="-9264.088800000005"/>
        <n v="7095.0123999999969"/>
        <n v="8816.5615999995844"/>
        <n v="-43855.200000000019"/>
        <n v="-2254.8539999999957"/>
        <n v="4457.8449999996883"/>
        <n v="-1298.3971000000004"/>
        <n v="-5620.0684000000037"/>
        <n v="6769.5071999999873"/>
        <n v="-7768.6839999999993"/>
        <n v="-233.5948000000003"/>
        <n v="969.84780000000706"/>
        <n v="-1238.425200000001"/>
        <n v="-7095.3827999999994"/>
        <n v="197.60560000000009"/>
        <n v="-618.96599999999853"/>
        <n v="-6281.9320000000116"/>
        <n v="2797.3167999997563"/>
        <n v="-17538.011999999999"/>
        <n v="-4665.128999999999"/>
        <n v="-9437.152999999993"/>
        <n v="-15776.135999999997"/>
        <n v="8651.7959999999985"/>
        <n v="-5224.2839999999969"/>
        <n v="-7478.2464000000036"/>
        <n v="-7069.1675999999861"/>
        <n v="-0.99839999999915108"/>
        <n v="-11881.786799999991"/>
        <n v="-10672.787999999995"/>
        <n v="-4845.1182999999983"/>
        <n v="-287.2364"/>
        <n v="92.610000000000127"/>
        <n v="7059.3791999999985"/>
        <n v="-202.11800000000017"/>
        <n v="11412.902399999992"/>
        <n v="3552.0443999999889"/>
        <n v="-7208.1596999999992"/>
        <n v="-122.2760000000049"/>
        <n v="763.81060000000025"/>
        <n v="12578.411999999633"/>
        <n v="-7985.4570000000222"/>
        <n v="3790.5811999999987"/>
        <n v="5406.0335999999988"/>
        <n v="1858.6792000000028"/>
        <n v="-50758.825499999999"/>
        <n v="160.42999999999665"/>
        <n v="-26079.923599999995"/>
        <n v="-30793.953600000004"/>
        <n v="384.28080000000045"/>
        <n v="-2433.3312000000278"/>
        <n v="-7776.1200000000026"/>
        <n v="-42880.21649999998"/>
        <n v="-2159.6799999999985"/>
        <n v="-35465.622800000012"/>
        <n v="-384.54360000000315"/>
        <n v="-1204.0236000000787"/>
        <n v="-16941.95400000022"/>
        <n v="-6339.7847999999994"/>
        <n v="-3591.4648000000011"/>
        <n v="-107.89680000000271"/>
        <n v="-1730.8962000000024"/>
        <n v="-33454.104000000021"/>
        <n v="-30301.401000000005"/>
        <n v="-2560.3775999999925"/>
        <n v="-1050.2759999999998"/>
        <n v="-21428.982499999991"/>
        <n v="-6082.1200000000008"/>
        <n v="54.606799999998657"/>
        <n v="-9894.7200000000012"/>
        <n v="-582.38499999999931"/>
        <n v="-1160.2799999999997"/>
        <n v="4303.3680000000013"/>
        <n v="-9180.7014000000909"/>
        <n v="-140.4375"/>
        <n v="132.84960000000001"/>
        <n v="-4410.6853999999985"/>
        <n v="15599.759999999998"/>
        <n v="-1652.0658000000003"/>
        <n v="-6971.801999999996"/>
        <n v="-11810.152000000007"/>
        <n v="-2920.5621999999998"/>
        <n v="4619.8547999999955"/>
        <n v="-13243.992000000013"/>
        <n v="106.70999999999913"/>
        <n v="-37433.223900000012"/>
        <n v="-10234.547200000001"/>
        <n v="-8825.9220000000078"/>
        <n v="-429.44650000000024"/>
        <n v="-326.45799999999963"/>
        <n v="11967.967200000005"/>
        <n v="-4316.4140000000007"/>
        <n v="-2325.8532000000123"/>
        <n v="82.04910000000109"/>
        <n v="-274.33359999999993"/>
        <n v="15147.272799999997"/>
        <n v="-4497.2615999999944"/>
        <n v="1672.8993"/>
        <n v="1235.0499999999988"/>
        <n v="4400.5757999999978"/>
        <n v="-1189.8028000000031"/>
        <n v="10668.529999999997"/>
        <n v="4254.5754999999981"/>
        <n v="-2383.872600000002"/>
        <n v="5074.180999999704"/>
        <n v="-6822.7343999999957"/>
        <n v="-26702.910000000003"/>
        <n v="-3699.1912000000148"/>
        <n v="-7866.0472000000027"/>
        <n v="5329.5269999999964"/>
        <n v="-1540.4015999999974"/>
        <n v="-16836.854999999996"/>
        <n v="2265.8303999999989"/>
        <n v="-32054.642399999997"/>
        <n v="-230.19600000000082"/>
        <n v="-3241.9631999999983"/>
        <n v="-8246.4786000000076"/>
        <n v="5433.833999999998"/>
        <n v="-43306.150799999989"/>
        <n v="-5093.1575000001776"/>
        <n v="-2245.4691999999995"/>
        <n v="956.31459999999925"/>
        <n v="5297.2271999999957"/>
        <n v="7149.6149999999916"/>
        <n v="213.48749999999654"/>
        <n v="-1875.1239999999996"/>
        <n v="461.21000000001732"/>
        <n v="1771.2199999999996"/>
        <n v="-52.45679999999993"/>
        <n v="-3258.3527999999933"/>
        <n v="-38890.335999999996"/>
        <n v="-12862.829000000129"/>
        <n v="4462.1599999999926"/>
        <n v="-5136.0319999999992"/>
        <n v="-8895.5706000000246"/>
        <n v="-12278.400000000223"/>
        <n v="1492.7280000000019"/>
        <n v="-24376.861600000004"/>
        <n v="4180.7099999999991"/>
        <n v="-1158.3649999999973"/>
        <n v="-8538.8239999999969"/>
        <n v="-6422.1833999999944"/>
        <n v="-1577.8006000000009"/>
        <n v="-11898.585599999999"/>
        <n v="-2407.0760000000064"/>
        <n v="1160.7557000000002"/>
        <n v="-2130.3009000000056"/>
        <n v="-47912.457599999994"/>
        <n v="-35285.889199999991"/>
        <n v="6196.113399999992"/>
        <n v="-21595.944000000003"/>
        <n v="1736.5072"/>
        <n v="1548.1871999999858"/>
        <n v="-8352.7340000000004"/>
        <n v="-3167.8719999999958"/>
        <n v="-11633.243999999999"/>
        <n v="3455.4707999999905"/>
        <n v="-21505.471999999991"/>
        <n v="-34551.309599999986"/>
        <n v="-247.2928000000029"/>
        <n v="11787.019999999997"/>
        <n v="-20225.727999999999"/>
        <n v="396.98499999999513"/>
        <n v="1183.5559999997949"/>
        <n v="6207.2032000000017"/>
        <n v="-537.1574999999998"/>
        <n v="1557.9252000000051"/>
        <n v="-22986.026799999989"/>
        <n v="-6097.6440000002913"/>
        <n v="13936.481999999996"/>
        <n v="-18408.097500000003"/>
        <n v="388.35300000000188"/>
        <n v="1099.9871999999978"/>
        <n v="4729.0127999999968"/>
        <n v="-8324.2970000003279"/>
        <n v="-10186.217600000004"/>
        <n v="-9145.8672000000006"/>
        <n v="-9103.7249999999931"/>
        <n v="-5113.1431999999977"/>
        <n v="5628.5542999998115"/>
        <n v="-20587.433499999992"/>
        <n v="-13462.230599999997"/>
        <n v="-2447.7856000000015"/>
        <n v="-18031.557599999996"/>
        <n v="54.838399999999638"/>
        <n v="-667.05799999999954"/>
        <n v="6.4844000000000506"/>
        <n v="76.374400000000151"/>
        <n v="11665.5"/>
        <n v="5192.6471999999994"/>
        <n v="-742.40399999999954"/>
        <n v="-6237.9100000000008"/>
        <n v="-3060.5680000002271"/>
        <n v="-671.03519999999935"/>
        <n v="-37133.740000000013"/>
        <n v="-2267.252400000003"/>
        <n v="-8472.190099999998"/>
        <n v="-4157.7719999999954"/>
        <n v="-11153.66"/>
        <n v="3753.755999999973"/>
        <n v="3715.9279999999817"/>
        <n v="-12878.930600000365"/>
        <n v="-10050.990399999995"/>
        <n v="2716.8240000000005"/>
        <n v="1966.7834999999964"/>
        <n v="3457.3768000000009"/>
        <n v="-593.6224000000002"/>
        <n v="7577.1383999999862"/>
        <n v="378.86719999999696"/>
        <n v="-1225.7451000000217"/>
        <n v="1257.3299999999963"/>
        <n v="-467.81039999999939"/>
        <n v="13076.7348"/>
        <n v="-17190.806600000004"/>
        <n v="-15394.108799999998"/>
        <n v="-765.12480000007054"/>
        <n v="-8199.196399999988"/>
        <n v="8189.2235999999648"/>
        <n v="-8515.7407999999978"/>
        <n v="1529.5983999999999"/>
        <n v="-2480.2008000001033"/>
        <n v="-1601.7300000000023"/>
        <n v="-9301.3799999999974"/>
        <n v="-12383.08"/>
        <n v="7242.2999999999993"/>
        <n v="190.9235999999994"/>
        <n v="4725.6959999999999"/>
        <n v="-3633.3567999999996"/>
        <n v="-9627.0090000000109"/>
        <n v="-10073.915000000005"/>
        <n v="110.96880000000101"/>
        <n v="-8934.1699999999964"/>
        <n v="-15774.073600000005"/>
        <n v="8300.6683999999732"/>
        <n v="7849.9450000000006"/>
        <n v="3547.2491999999993"/>
        <n v="7284.3819999999823"/>
        <n v="2521.4489999999896"/>
        <n v="1956.84"/>
        <n v="-171.84360000001834"/>
        <n v="991.98599999999942"/>
        <n v="-24771.567600000002"/>
        <n v="3386.5088000000005"/>
        <n v="432.83039999999892"/>
        <n v="-9469.1200000000099"/>
        <n v="-6176.1879999999928"/>
        <n v="-4099.9800000000778"/>
        <n v="-4554.4880000000358"/>
        <n v="-3524.7887999999966"/>
        <n v="2393.6591999999982"/>
        <n v="-117.75599999999849"/>
        <n v="-18911.220999999969"/>
        <n v="-2210.6499999999965"/>
        <n v="7770.9911999999995"/>
        <n v="-7892.5651999999973"/>
        <n v="-1990.3349999999991"/>
        <n v="2406.7571999999982"/>
        <n v="8342.4389999998002"/>
        <n v="3631.4591999999993"/>
        <n v="6390.9144000000015"/>
        <n v="9835.9271999999874"/>
        <n v="-5995.6920000000009"/>
        <n v="6223.4879999999976"/>
        <n v="17931.195600000003"/>
        <n v="-3337.8099999999995"/>
        <n v="4987.3383999999987"/>
        <n v="8681.0099999996328"/>
        <n v="-41855.623600000014"/>
        <n v="-17780.825000000004"/>
        <n v="8349.4040000000005"/>
        <n v="-5465.6937000002199"/>
        <n v="-9264.8611000000801"/>
        <n v="-28831.177499999994"/>
        <n v="-4447.7953000000016"/>
        <n v="-14774.899199999993"/>
        <n v="-163.81920000000082"/>
        <n v="-4121.5023000000083"/>
        <n v="467.45000000000005"/>
        <n v="12890.846499999998"/>
        <n v="-25963.147000000256"/>
        <n v="5639.9364000000023"/>
        <n v="323.45219999999972"/>
        <n v="-40534.092500000013"/>
        <n v="-606.47440000000006"/>
        <n v="10083.220000000003"/>
        <n v="-1515.9120000000003"/>
        <n v="4603.8899999999994"/>
        <n v="-8552.3399999999983"/>
        <n v="-1103.5642000000048"/>
        <n v="61.841000000000804"/>
        <n v="-23091.0648"/>
        <n v="9078.5249999997159"/>
        <n v="-7503.1680000003835"/>
        <n v="697.82000000000335"/>
        <n v="711.42119999999795"/>
        <n v="-2973.7811999999981"/>
        <n v="2823.851999999707"/>
        <n v="3088.7809999999999"/>
        <n v="-4467.427499999998"/>
        <n v="8300.3040000000037"/>
        <n v="-8680.6923000000024"/>
        <n v="2600.333999999998"/>
        <n v="5302.9219999999968"/>
        <n v="-2575.0331999999862"/>
        <n v="2668.0676000000003"/>
        <n v="-2166.4943999999959"/>
        <n v="4531.5304999996943"/>
        <n v="-4337.309599999995"/>
        <n v="1370.3508000000002"/>
        <n v="-2075.9760000000015"/>
        <n v="1382.4810000000014"/>
        <n v="428.09899999999607"/>
        <n v="-7524.8403999999955"/>
        <n v="-9812.1239999999907"/>
        <n v="7952.8415999999943"/>
        <n v="-24753.592000000008"/>
        <n v="-3789.5816000001159"/>
        <n v="368.8420000000001"/>
        <n v="-7699.3748000001378"/>
        <n v="-30663.992300000009"/>
        <n v="-42729.697499999995"/>
        <n v="-3004.9151999999995"/>
        <n v="-39466.229400000266"/>
        <n v="2496.2013999997953"/>
        <n v="196.77919999999722"/>
        <n v="-22859.990399999981"/>
        <n v="5196.4819999999991"/>
        <n v="-2687.3784000000005"/>
        <n v="-12815.6368"/>
        <n v="-4328.4360000000006"/>
        <n v="-2829.3650000000011"/>
        <n v="-1942.9480000000021"/>
        <n v="3923.8839000000007"/>
        <n v="19041.321599999999"/>
        <n v="-6924.2064000000028"/>
        <n v="-442.53020000000288"/>
        <n v="-1299.9319999999989"/>
        <n v="25.605999999997948"/>
        <n v="380.11659999999915"/>
        <n v="-7038.7646000000177"/>
        <n v="4072.1471999999958"/>
        <n v="114.73990000000001"/>
        <n v="-1852.7167999999947"/>
        <n v="246.36999999999989"/>
        <n v="23.622000000000298"/>
        <n v="-8571.2171999999955"/>
        <n v="1310.7500000000095"/>
        <n v="-31388.042399999998"/>
        <n v="1435.731200000002"/>
        <n v="-2067.2080000000005"/>
        <n v="-9446.7145000001437"/>
        <n v="-1441.3095000000048"/>
        <n v="5435.0736000000006"/>
        <n v="645.72270000000037"/>
        <n v="-7360.2471999999971"/>
        <n v="-16636.164000000008"/>
        <n v="-35292.576000000008"/>
        <n v="-12375.023000000001"/>
        <n v="-11452.576000000001"/>
        <n v="4640.2536000000046"/>
        <n v="8111.9527999999909"/>
        <n v="-1417.7508000000012"/>
        <n v="-347.88600000000088"/>
        <n v="-1722.6090000000095"/>
        <n v="1185.0155999999997"/>
        <n v="-19583.726399999985"/>
        <n v="-918.39599999999336"/>
        <n v="-21961.837199999987"/>
        <n v="-54935.73"/>
        <n v="2542.8600000000006"/>
        <n v="-2363.119999999999"/>
        <n v="8724.7599999999984"/>
        <n v="-9853.2112000000052"/>
        <n v="3097.7536000000036"/>
        <n v="-35246.015999999974"/>
        <n v="-30299.847199999997"/>
        <n v="-30489.482799999972"/>
        <n v="-23407.235999999997"/>
        <n v="-12135.650000000005"/>
        <n v="-580.62559999999939"/>
        <n v="4023.6586000000034"/>
        <n v="-5516.9775000000118"/>
        <n v="86.725199999998949"/>
        <n v="-2227.7348000000006"/>
        <n v="-6468.4900000000125"/>
        <n v="-4237.9094999999979"/>
        <n v="2298.3588"/>
        <n v="-5527.0870000000104"/>
        <n v="-19351.691600000118"/>
        <n v="-12647.208000000006"/>
        <n v="165.01949999999994"/>
        <n v="7306.5987000000032"/>
        <n v="8975.3471999999965"/>
        <n v="12636.749700000018"/>
        <n v="-4339.5375000000013"/>
        <n v="-38717.099999999962"/>
        <n v="6997.3900000000012"/>
        <n v="-2030.7120000000009"/>
        <n v="-4423.1526000000013"/>
        <n v="-824.66640000000007"/>
        <n v="-1682.463999999999"/>
        <n v="-11971.655599999993"/>
        <n v="-711.79080000000067"/>
        <n v="-802.07899999999881"/>
        <n v="-3126.0167999999999"/>
        <n v="-2337.703599999998"/>
        <n v="2003.88"/>
        <n v="-3856.7853999999998"/>
        <n v="-5474.5319999999811"/>
        <n v="1709.1079999999988"/>
        <n v="5941.3925999999901"/>
        <n v="-14188.613400000009"/>
        <n v="4495.764000000001"/>
        <n v="9729.7069999999985"/>
        <n v="-1330.637999999999"/>
        <n v="9297.1273999999994"/>
        <n v="-18600.590400000197"/>
        <n v="2111.0404999997354"/>
        <n v="-9667.5243000000064"/>
        <n v="5389.5400000000009"/>
        <n v="-5550.4896000000081"/>
        <n v="-10495.463999999998"/>
        <n v="-9837.1455999999962"/>
        <n v="12092.892899999999"/>
        <n v="-15591.648000000001"/>
        <n v="1947.2431999999947"/>
        <n v="2482.7342000000044"/>
        <n v="9294.1799999999985"/>
        <n v="1670.1143999999999"/>
        <n v="-633.32650000000012"/>
        <n v="-1126.7088000000022"/>
        <n v="2314.7104000000027"/>
        <n v="689.74999999999977"/>
        <n v="-12265.937500000178"/>
        <n v="1886.2349999999915"/>
        <n v="3521.9511999999936"/>
        <n v="8676.3768000000018"/>
        <n v="-285.31999999999971"/>
        <n v="3399.8399999999992"/>
        <n v="-7427.4495999999999"/>
        <n v="-4549.4918000000025"/>
        <n v="-2128.2449999999958"/>
        <n v="-16592.443800000183"/>
        <n v="-224.76720000000114"/>
        <n v="-534.42050000000427"/>
        <n v="-18653.423999999995"/>
        <n v="-2019.9437999999964"/>
        <n v="-441.81079999999986"/>
        <n v="-16245.319200000002"/>
        <n v="-3276.8010000000013"/>
        <n v="1079.4070000000011"/>
        <n v="3835.0899999999788"/>
        <n v="12445.63600000001"/>
        <n v="-50386.444000000003"/>
        <n v="-1990.0048000000061"/>
        <n v="5262.9799999999987"/>
        <n v="-5.9719000000000051"/>
        <n v="-9136.5769000000037"/>
        <n v="4522.2943999999998"/>
        <n v="1469.7584999999244"/>
        <n v="-4254.3936000000103"/>
        <n v="-3360.9599999999991"/>
        <n v="7775.9087999999938"/>
        <n v="3570.2408"/>
        <n v="3514.2160000000031"/>
        <n v="-3239.2000000000007"/>
        <n v="-8165.4975000003797"/>
        <n v="2600.9279999999981"/>
        <n v="-5402.9592000000066"/>
        <n v="-10647.268000000282"/>
        <n v="6509.5107999999891"/>
        <n v="778.56400000000008"/>
        <n v="-31886.831999999995"/>
        <n v="-1875.8250000000098"/>
        <n v="9092.003999999999"/>
        <n v="3808.6849999999981"/>
        <n v="-22289.942400000011"/>
        <n v="4881.5663999999997"/>
        <n v="430.48999999999978"/>
        <n v="-10530.292500000007"/>
        <n v="-7022.7117999999891"/>
        <n v="-3035.9340000001271"/>
        <n v="6445.655999999999"/>
        <n v="-3528.0063999999984"/>
        <n v="2504.4879999999816"/>
        <n v="5383.8266999999969"/>
        <n v="6394.4871000000003"/>
        <n v="-14657.114899999997"/>
        <n v="4131.8799999999956"/>
        <n v="-15085.9215"/>
        <n v="-31299.356000000007"/>
        <n v="5326.3359999999993"/>
        <n v="-1215.908199999998"/>
        <n v="3756.8383999999983"/>
        <n v="-3496.3390000000027"/>
        <n v="13217.89499999999"/>
        <n v="-4734.3060000000069"/>
        <n v="1066.8000000000002"/>
        <n v="-12400.47"/>
        <n v="-8837.5430000000015"/>
        <n v="-18878.509999999984"/>
        <n v="-10421.557500000188"/>
        <n v="4611.1031999999923"/>
        <n v="-10904.367999999999"/>
        <n v="3155.5124000000005"/>
        <n v="-5763.0972000003521"/>
        <n v="7914.518399999979"/>
        <n v="-584.64719999999852"/>
        <n v="-28349.037500000009"/>
        <n v="-12768.941599999989"/>
        <n v="1348.482"/>
        <n v="793.09679999999639"/>
        <n v="-18638.824000000015"/>
        <n v="2668.0257999999994"/>
        <n v="1915.3050000000007"/>
        <n v="-11130.296800000098"/>
        <n v="-3137.4360000001034"/>
        <n v="-19451.865999999998"/>
        <n v="8345.894400000001"/>
        <n v="-13280.168000000005"/>
        <n v="-5649.1560000000263"/>
        <n v="-2571.9203999999991"/>
        <n v="-2519.7688000000289"/>
        <n v="3408.6239999999771"/>
        <n v="-71.952000000068438"/>
        <n v="7961.1399999997875"/>
        <n v="-1944.701"/>
        <n v="4793.4419999999955"/>
        <n v="-15459.273599999997"/>
        <n v="-4375.473599999993"/>
        <n v="-14960.599999999977"/>
        <n v="-8273.1360000000041"/>
        <n v="1590.4503999999979"/>
        <n v="1144.4111999999895"/>
        <n v="2327.0433999999968"/>
        <n v="-1082.5115999999998"/>
        <n v="-5567.5235000000002"/>
        <n v="11257.372500000005"/>
        <n v="1895.144400000002"/>
        <n v="101.55399999996916"/>
        <n v="8656.6087999999909"/>
        <n v="51.055199999985462"/>
        <n v="3056.5944000000036"/>
        <n v="3974.9664000000048"/>
        <n v="-39812.63660000002"/>
        <n v="1165.0966999999971"/>
        <n v="-19697.87999999999"/>
        <n v="-10791.608000000006"/>
        <n v="8325.0274999999983"/>
        <n v="606.66869999999949"/>
        <n v="-4033.7879999999986"/>
        <n v="-2384.1076000000035"/>
        <n v="1996.6439999999966"/>
        <n v="-5052.6768000000029"/>
        <n v="-9493.6001999999899"/>
        <n v="8707.1863999999987"/>
        <n v="19.948200000000043"/>
        <n v="-14537.973899999997"/>
        <n v="-8122.1004000000166"/>
        <n v="-4266.9899999999943"/>
        <n v="20832.446399999986"/>
        <n v="13376.784"/>
        <n v="-474.62569999999459"/>
        <n v="-1174.788"/>
        <n v="1259.1699999999978"/>
        <n v="-9823.7516000000032"/>
        <n v="16281.949999999999"/>
        <n v="-345.71300000001975"/>
        <n v="-12268.156800000004"/>
        <n v="-951.11100000001545"/>
        <n v="13540.503199999997"/>
        <n v="-11569.197000000004"/>
        <n v="-4560.0765999999967"/>
        <n v="-38274.815999999992"/>
        <n v="-2272.1496000004017"/>
        <n v="-10220.94000000001"/>
        <n v="774.73199999999997"/>
        <n v="1333.3733999999977"/>
        <n v="2204.303199999983"/>
        <n v="537.24799999999959"/>
        <n v="-5923.5304000000033"/>
        <n v="10524.287999999999"/>
        <n v="-971.88000000017837"/>
        <n v="7369.9200000000128"/>
        <n v="-15991.957800000006"/>
        <n v="-2298.1936999999998"/>
        <n v="2951.5371999999998"/>
        <n v="-13170.647999999983"/>
        <n v="-8800.7430000000022"/>
        <n v="-3386.1510000000044"/>
        <n v="-7874.68"/>
        <n v="-30528.825600000033"/>
        <n v="-1090.8323999999971"/>
        <n v="-1575.053200000001"/>
        <n v="5598.8819999999978"/>
        <n v="2899.651500000009"/>
        <n v="-39584.252000000015"/>
        <n v="-8962.8875999999964"/>
        <n v="-48726.095000000001"/>
        <n v="-12869.352600000278"/>
        <n v="-7264.5207999999966"/>
        <n v="-2020.4004999999988"/>
        <n v="2287.2960000000016"/>
        <n v="10044.186000000002"/>
        <n v="-2919.3480000000018"/>
        <n v="-2134.0167999999976"/>
        <n v="-54.932799999999929"/>
        <n v="9956.3618000000024"/>
        <n v="-12300.293599999986"/>
        <n v="7059.8261999996412"/>
        <n v="-3620.6400000000067"/>
        <n v="-401.77"/>
        <n v="43.15679999999611"/>
        <n v="-5044.4136000000053"/>
        <n v="4813.9952000000003"/>
        <n v="-12887.495999999996"/>
        <n v="-6976.5654000001223"/>
        <n v="9043.3884000000016"/>
        <n v="869.92320000000018"/>
        <n v="5291.5110999999997"/>
        <n v="2724.1871999995874"/>
        <n v="4766.8719999999985"/>
        <n v="-2441.8836000000006"/>
        <n v="-619.12840000031588"/>
        <n v="1535.9399999999994"/>
        <n v="3869.1743999999962"/>
        <n v="-561.42000000008466"/>
        <n v="-13242.925000000008"/>
        <n v="1712.1521999999979"/>
        <n v="3547.9030999999895"/>
        <n v="572.22719999999936"/>
        <n v="-27097.154400000374"/>
        <n v="-18004.341200000003"/>
        <n v="-1949.2408000002438"/>
        <n v="-35209.216000000029"/>
        <n v="-4616.8595999999943"/>
        <n v="1316.9389999999978"/>
        <n v="-10781.25"/>
        <n v="188.70059999999989"/>
        <n v="-816.41999999999962"/>
        <n v="1256.6285999999998"/>
        <n v="3652.9775999999993"/>
        <n v="-4737.2225999999955"/>
        <n v="1279.8399999998437"/>
        <n v="400.68000000000086"/>
        <n v="-15569.683199999999"/>
        <n v="-2114.1943999999967"/>
        <n v="849.85649999999987"/>
        <n v="867.50100000000009"/>
        <n v="-1281.9408000000058"/>
        <n v="-5310.5584000000017"/>
        <n v="-8288.9239999999991"/>
        <n v="11451.225599999998"/>
        <n v="-4509.5160000000014"/>
        <n v="3372.4403999999904"/>
        <n v="12649.946399999992"/>
        <n v="156.1259"/>
        <n v="-3375.3024000000019"/>
        <n v="669.2909999999988"/>
        <n v="-337.06900000000019"/>
        <n v="136.84159999999997"/>
        <n v="1532.9200000000055"/>
        <n v="-4426.9439999999977"/>
        <n v="-28376.306400000009"/>
        <n v="2155.6059999999943"/>
        <n v="-6520.2540000000026"/>
        <n v="703.22479999999996"/>
        <n v="10940.584000000003"/>
        <n v="-355.16100000000006"/>
        <n v="-25449.48000000001"/>
        <n v="562.3306999999993"/>
        <n v="-2785.5184000000063"/>
        <n v="4383.3712000000014"/>
        <n v="4730.5200000000004"/>
        <n v="-28.828599999999994"/>
        <n v="-6015.3453000000009"/>
        <n v="18860.629999999997"/>
        <n v="-16.463199999999915"/>
        <n v="-7046.7712000002357"/>
        <n v="240.67950000000053"/>
        <n v="-658.3894000000073"/>
        <n v="3178.8543999999965"/>
        <n v="341.17799999999761"/>
        <n v="-10564.513999999992"/>
        <n v="-2709.638799999997"/>
        <n v="1416.5069999999987"/>
        <n v="-30967.494999999995"/>
        <n v="169.38719999999967"/>
        <n v="624.79999999999905"/>
        <n v="-7636.3892000000005"/>
        <n v="-3490.920000000001"/>
        <n v="-5965.1151999999984"/>
        <n v="-6191.3543999999929"/>
        <n v="9048.4524000000001"/>
        <n v="13582.145"/>
        <n v="-4603.8803999999973"/>
        <n v="-1107.8549999999996"/>
        <n v="-31058.420000000006"/>
        <n v="-11474.923200000003"/>
        <n v="-1449.4176000000662"/>
        <n v="-224.32269999999698"/>
        <n v="-12376.117599999996"/>
        <n v="-795.04080000000067"/>
        <n v="4971.4020000000019"/>
        <n v="1874.7215999999971"/>
        <n v="-734.5031999999992"/>
        <n v="1205.68"/>
        <n v="-2250.6417000000033"/>
        <n v="-1388.5967999999993"/>
        <n v="-2763.9960000000247"/>
        <n v="-1047.800000000002"/>
        <n v="13980.459999999986"/>
        <n v="-7366.7520000000022"/>
        <n v="-1134.1148000000014"/>
        <n v="1047.7614000000005"/>
        <n v="-3912.916000000298"/>
        <n v="11073.656999999997"/>
        <n v="-1456.8680000001068"/>
        <n v="7641.7506000000003"/>
        <n v="3226.7400000000007"/>
        <n v="-26236.307499999999"/>
        <n v="-3539.1383999999925"/>
        <n v="235.60239999999521"/>
        <n v="-16064.268000000009"/>
        <n v="-2524.7920000000013"/>
        <n v="1874.7742999995899"/>
        <n v="-3644.0100000003713"/>
        <n v="1602.1568000000116"/>
        <n v="-717.44420000009427"/>
        <n v="862.85499999999911"/>
        <n v="1068.3904000000057"/>
        <n v="7358.0012000000006"/>
        <n v="1333.2640000000001"/>
        <n v="-19273.525000000012"/>
        <n v="-2096.2560000000012"/>
        <n v="-5799.9900000000025"/>
        <n v="-2212.6070999999979"/>
        <n v="-9089.6819999999934"/>
        <n v="-6549.1199999999953"/>
        <n v="796.53059999999982"/>
        <n v="-5833.2863999999972"/>
        <n v="-8182.3248000000031"/>
        <n v="1706.3162999998858"/>
        <n v="10358.066399999987"/>
        <n v="-14997.299999999996"/>
        <n v="815.26719999999978"/>
        <n v="10476.751999999997"/>
        <n v="-28.390399999999772"/>
        <n v="-6321.6960000000108"/>
        <n v="-11686.657499999994"/>
        <n v="-11358.435000000005"/>
        <n v="-10890.153599999994"/>
        <n v="-4883.1335000000081"/>
        <n v="-7838.6400000000031"/>
        <n v="154.97760000000017"/>
        <n v="-11748.9198"/>
        <n v="816.11789999998746"/>
        <n v="-215.19519999998556"/>
        <n v="-6500.9746999999988"/>
        <n v="-755.27120000000014"/>
        <n v="-586.88190000008603"/>
        <n v="6670.1700000000055"/>
        <n v="12677.103000000005"/>
        <n v="7109.6111999999994"/>
        <n v="9346.8935999999994"/>
        <n v="-24371.239000000354"/>
        <n v="13156.255999999994"/>
        <n v="14611.743999999999"/>
        <n v="-11317.614000000012"/>
        <n v="-3857.8999999999978"/>
        <n v="-5323.2759999999989"/>
        <n v="3737.7299999999996"/>
        <n v="-8177.3974999999955"/>
        <n v="-16970.681800000115"/>
        <n v="-12070.520000000002"/>
        <n v="7367.2999999999956"/>
        <n v="-12894.341499999993"/>
        <n v="-125.84000000000015"/>
        <n v="141.10560000000623"/>
        <n v="17682.611599999997"/>
        <n v="-3531.5020000000004"/>
        <n v="-114.14399999999887"/>
        <n v="-5074.418400000005"/>
        <n v="-13010.462799999998"/>
        <n v="1910.5449999999998"/>
        <n v="2598.8785000000025"/>
        <n v="296.36459999999988"/>
        <n v="-3418.2036000000071"/>
        <n v="-23212.799999999992"/>
        <n v="-11416.204800000256"/>
        <n v="-7945.7839999999906"/>
        <n v="-13519.713000000003"/>
        <n v="-40371.486000000004"/>
        <n v="-3230.7576000000008"/>
        <n v="10167.028200000001"/>
        <n v="1694.4708000000003"/>
      </sharedItems>
    </cacheField>
    <cacheField name="PROFIT/LOSS" numFmtId="0">
      <sharedItems count="2">
        <s v="PROFIT"/>
        <s v="LOSS"/>
      </sharedItems>
    </cacheField>
    <cacheField name="Profit Margin %" numFmtId="9">
      <sharedItems containsSemiMixedTypes="0" containsString="0" containsNumber="1" minValue="-0.40229579704148571" maxValue="0.82091321872291856" count="1000">
        <n v="3.8666702062439828E-2"/>
        <n v="-9.9666076181739782E-2"/>
        <n v="-2.6352888466604101E-2"/>
        <n v="-0.22797110720654803"/>
        <n v="4.8666391665716496E-3"/>
        <n v="-0.24463932096856666"/>
        <n v="-0.22946445052880055"/>
        <n v="0.18425530611887816"/>
        <n v="-6.7063284617211991E-2"/>
        <n v="-0.10389217648333986"/>
        <n v="-0.17171867110147537"/>
        <n v="0.24555225592176083"/>
        <n v="6.1506486286647712E-2"/>
        <n v="-0.27909241312073341"/>
        <n v="0.31993535984441346"/>
        <n v="0.15010389555903722"/>
        <n v="-0.25490368597213148"/>
        <n v="-6.1228034573727108E-2"/>
        <n v="-0.37044512938289337"/>
        <n v="-8.6886556474044627E-2"/>
        <n v="-9.5685035467583585E-2"/>
        <n v="0.439641051207179"/>
        <n v="-7.2191465082038039E-2"/>
        <n v="0.19739560800771136"/>
        <n v="0.16964202724989186"/>
        <n v="-1.9267572338495294E-2"/>
        <n v="0.5888034596499111"/>
        <n v="0.10785272730521155"/>
        <n v="4.3467886124848712E-2"/>
        <n v="-8.5603902661607154E-2"/>
        <n v="-0.12354954095067321"/>
        <n v="1.5163186707821763E-2"/>
        <n v="-0.17472492191751302"/>
        <n v="0.29038878480428015"/>
        <n v="-0.25740889608735296"/>
        <n v="-0.15824286530147261"/>
        <n v="-0.1120409076185042"/>
        <n v="-1.2256177305486187E-2"/>
        <n v="1.7785997169463424E-2"/>
        <n v="-0.24967256698554907"/>
        <n v="3.7388870983207888E-2"/>
        <n v="-0.24469276794161604"/>
        <n v="-8.668045144724959E-2"/>
        <n v="8.9399346447222305E-2"/>
        <n v="0.13430946378553402"/>
        <n v="-8.9814602366852139E-2"/>
        <n v="1.9446849247119424E-2"/>
        <n v="-4.6648410384303E-2"/>
        <n v="-0.20215115620741583"/>
        <n v="0.10661338693407331"/>
        <n v="-0.14232785806875994"/>
        <n v="0.63702195882045654"/>
        <n v="-9.254181963097062E-2"/>
        <n v="0.51025460751263418"/>
        <n v="6.4377973382725051E-2"/>
        <n v="-1.2937220009317978E-2"/>
        <n v="0.15510805464730931"/>
        <n v="6.0049265491093448E-2"/>
        <n v="-3.0350731048746235E-2"/>
        <n v="0.23260360376737929"/>
        <n v="-1.0995222477780483E-2"/>
        <n v="-7.7193730795228468E-2"/>
        <n v="-0.1244118827520317"/>
        <n v="-4.5428863256635824E-2"/>
        <n v="-0.16977267143825134"/>
        <n v="3.9244134217658003E-2"/>
        <n v="-0.22151826508142472"/>
        <n v="-7.2247490983946991E-2"/>
        <n v="-0.16931206271984409"/>
        <n v="-0.28887068520882292"/>
        <n v="5.8312230464504587E-2"/>
        <n v="-0.23686581512231128"/>
        <n v="-2.925168716994259E-2"/>
        <n v="3.3137190459682685E-2"/>
        <n v="-0.18107203078556661"/>
        <n v="-2.2817563428554278E-2"/>
        <n v="-0.22464773474205318"/>
        <n v="-1.5473784931391014E-2"/>
        <n v="9.1493619580711699E-2"/>
        <n v="-3.1754501443032435E-2"/>
        <n v="-2.5037745467852961E-2"/>
        <n v="-0.10011851723880474"/>
        <n v="-2.1318858186949424E-2"/>
        <n v="0.15188240698635511"/>
        <n v="-0.29653498641062637"/>
        <n v="4.1384320403958605E-2"/>
        <n v="-0.18756478265701801"/>
        <n v="-0.12966612564099614"/>
        <n v="-0.24940504126553709"/>
        <n v="-0.21501095494407907"/>
        <n v="-1.9647631320805631E-2"/>
        <n v="0.10520096306239417"/>
        <n v="-1.4259081360621512E-3"/>
        <n v="0.19270480421559094"/>
        <n v="3.0825642971060524E-2"/>
        <n v="-0.25046957449510449"/>
        <n v="-0.17615477593841583"/>
        <n v="-4.0788477971378381E-5"/>
        <n v="0.20386755925747102"/>
        <n v="-0.27253603671857346"/>
        <n v="-0.17441082036821448"/>
        <n v="6.2291841159726496E-2"/>
        <n v="-2.0232585385249847E-2"/>
        <n v="0.37183914805350332"/>
        <n v="-0.22991450271004618"/>
        <n v="-0.2143215439277098"/>
        <n v="0.22365023893607414"/>
        <n v="0.20610200364298722"/>
        <n v="-2.2742015136495802E-2"/>
        <n v="-0.16775365107956083"/>
        <n v="-0.19636342541744722"/>
        <n v="-0.14532238104511519"/>
        <n v="-3.5812227054636395E-2"/>
        <n v="0.68173959377433491"/>
        <n v="-0.22310757462544176"/>
        <n v="4.2689957668622373E-2"/>
        <n v="-0.24638919848742591"/>
        <n v="7.5936131573361321E-2"/>
        <n v="0.12465366371395567"/>
        <n v="-0.26769234635221983"/>
        <n v="2.7090534103492513E-2"/>
        <n v="-0.10695848653963842"/>
        <n v="-0.12483325242058674"/>
        <n v="-0.29615674970697936"/>
        <n v="-2.2230954690768176E-2"/>
        <n v="-0.30015219631729578"/>
        <n v="-9.1687730056833991E-2"/>
        <n v="-0.26344072260891144"/>
        <n v="-0.23982120218538869"/>
        <n v="-0.1302098075128458"/>
        <n v="0.69744492609962849"/>
        <n v="0.12630748586539692"/>
        <n v="0.15731033982365755"/>
        <n v="-8.7962185857357503E-2"/>
        <n v="-3.0483688650905828E-2"/>
        <n v="-8.5022393115160882E-2"/>
        <n v="-0.12541928159675655"/>
        <n v="0.13120827705017424"/>
        <n v="-0.16004841941228851"/>
        <n v="-0.1243914850909426"/>
        <n v="-0.14165410559849473"/>
        <n v="0.20509698187600597"/>
        <n v="-0.16518161113851018"/>
        <n v="-4.5313253288643017E-2"/>
        <n v="-0.21239507727597265"/>
        <n v="0.22765063205114563"/>
        <n v="-0.25188109100160871"/>
        <n v="0.10378619145565425"/>
        <n v="8.2106384117007682E-3"/>
        <n v="1.8269675960023983E-2"/>
        <n v="0.21541438105617841"/>
        <n v="9.7674513418396849E-2"/>
        <n v="-0.20437338427167964"/>
        <n v="0.31813162705881454"/>
        <n v="-0.16998185279847119"/>
        <n v="0.36279569570767511"/>
        <n v="8.5097194923744197E-3"/>
        <n v="1.329069849100261E-2"/>
        <n v="-0.33871104886555337"/>
        <n v="0.13567248968263121"/>
        <n v="-0.33957881176771371"/>
        <n v="-0.13143362838916639"/>
        <n v="-8.1007999905032988E-4"/>
        <n v="-0.27806032508724554"/>
        <n v="1.0926435986566192E-2"/>
        <n v="-0.1540952347703872"/>
        <n v="-0.35786690972377033"/>
        <n v="-0.20487374756468393"/>
        <n v="8.7265814129808134E-2"/>
        <n v="-6.5724164533853434E-3"/>
        <n v="-0.12182595767443091"/>
        <n v="-0.38060148052786841"/>
        <n v="-0.10434796461523134"/>
        <n v="-0.15015377680445949"/>
        <n v="-0.27186772537185122"/>
        <n v="-8.7611726478063437E-2"/>
        <n v="-2.0641009445706866E-2"/>
        <n v="-5.7347909333383067E-2"/>
        <n v="-0.32876519352309108"/>
        <n v="-0.25576642266566374"/>
        <n v="-0.12537707130952214"/>
        <n v="-0.20514915216971022"/>
        <n v="-8.8078994061374805E-3"/>
        <n v="-0.17324261353527845"/>
        <n v="-4.2672467921427745E-2"/>
        <n v="0.21700177954141006"/>
        <n v="3.3245351532026658E-2"/>
        <n v="0.40650466821960085"/>
        <n v="-8.8338105396581143E-2"/>
        <n v="-0.10812786053143664"/>
        <n v="3.7322824011799013E-3"/>
        <n v="-0.15348753668206588"/>
        <n v="0.15811692403525399"/>
        <n v="0.50609845271871079"/>
        <n v="6.369897459899064E-2"/>
        <n v="-5.5884296527694395E-2"/>
        <n v="-0.25523627477560124"/>
        <n v="6.2030344769886218E-2"/>
        <n v="-0.27946269315169547"/>
        <n v="1.9821619682186417E-2"/>
        <n v="5.3655798867965537E-2"/>
        <n v="-4.7295996675221497E-2"/>
        <n v="9.3352208054859886E-2"/>
        <n v="-0.1663941668029863"/>
        <n v="-5.0890959819230856E-2"/>
        <n v="-0.14665758968738038"/>
        <n v="0.34690599314822002"/>
        <n v="8.306355226224417E-2"/>
        <n v="-0.25149675874313571"/>
        <n v="-3.401381662810405E-2"/>
        <n v="4.4485588558161294E-2"/>
        <n v="-0.18932914412988888"/>
        <n v="-6.4495834007719785E-2"/>
        <n v="8.1084860547100276E-2"/>
        <n v="-7.9194064605331238E-2"/>
        <n v="-9.2610897278431956E-2"/>
        <n v="1.6652655693463556E-2"/>
        <n v="-5.7398183284354039E-2"/>
        <n v="-0.26484462697054861"/>
        <n v="0.10469250732296981"/>
        <n v="-6.7327403410325573E-2"/>
        <n v="-7.0934201120262261E-2"/>
        <n v="3.7692343521939863E-2"/>
        <n v="-0.1787769026026792"/>
        <n v="-0.18924896040692632"/>
        <n v="-0.17468598449708758"/>
        <n v="-0.20931101182957895"/>
        <n v="0.18155942320661142"/>
        <n v="-0.10439344630232292"/>
        <n v="-7.4959132480815302E-2"/>
        <n v="-9.8153883768373779E-2"/>
        <n v="-1.2050968063041421E-4"/>
        <n v="-0.13607018934590182"/>
        <n v="-0.10385907224340397"/>
        <n v="-0.21436602009982109"/>
        <n v="-0.20291023433727265"/>
        <n v="3.5415713012263042E-3"/>
        <n v="0.42636106540982882"/>
        <n v="-1.5461510616468445E-2"/>
        <n v="8.8489272784734979E-2"/>
        <n v="2.1568838378895519E-2"/>
        <n v="-3.8165096328202343E-2"/>
        <n v="-3.4525014230600386E-2"/>
        <n v="7.9088000238896741E-2"/>
        <n v="0.20379352675229326"/>
        <n v="-4.6180441683330277E-2"/>
        <n v="6.301327372067872E-2"/>
        <n v="0.58481580947870848"/>
        <n v="0.10580118721793069"/>
        <n v="-0.31029757042659289"/>
        <n v="3.6624567704312523E-3"/>
        <n v="-0.2924721035185972"/>
        <n v="-0.26370446618380505"/>
        <n v="6.9839978745776712E-3"/>
        <n v="-0.28390585605111512"/>
        <n v="-0.22752041683344226"/>
        <n v="-0.28794276932670332"/>
        <n v="-0.1649981052966126"/>
        <n v="-0.19666009952688338"/>
        <n v="-2.2538045475200819E-2"/>
        <n v="-5.3147153850900318E-2"/>
        <n v="-0.14365788078731187"/>
        <n v="-0.17516132906009174"/>
        <n v="-4.1629511929311767E-2"/>
        <n v="-3.242427163399926E-3"/>
        <n v="-9.1330029545321642E-2"/>
        <n v="-0.38931349304656221"/>
        <n v="-0.32314483794283827"/>
        <n v="-2.1839795858595228E-2"/>
        <n v="-7.0378342997426027E-2"/>
        <n v="-0.27894516491886451"/>
        <n v="-8.6390350834207263E-2"/>
        <n v="6.7770494832285269E-3"/>
        <n v="-0.10623327275163451"/>
        <n v="-4.114714758634036E-2"/>
        <n v="-7.7630850013247571E-2"/>
        <n v="0.10830489325116123"/>
        <n v="-0.24427869435275845"/>
        <n v="-0.13593367743246873"/>
        <n v="0.28540983127576969"/>
        <n v="-6.7395501093756777E-2"/>
        <n v="0.16409444664292308"/>
        <n v="-9.4153289652734229E-2"/>
        <n v="-0.16936213232105723"/>
        <n v="-0.16347894667426929"/>
        <n v="-6.7124627758140015E-2"/>
        <n v="3.1453881943204094E-2"/>
        <n v="-0.1317874036639867"/>
        <n v="1.0139449499441207E-2"/>
        <n v="-0.39129640104243313"/>
        <n v="-0.19225145653968345"/>
        <n v="-5.577912907798907E-2"/>
        <n v="-0.13017066606124975"/>
        <n v="-6.6126084738971858E-2"/>
        <n v="0.17160366959393969"/>
        <n v="-0.27927640445541607"/>
        <n v="-4.0373264984823666E-2"/>
        <n v="4.9175369748746993E-3"/>
        <n v="-7.6278225325695628E-2"/>
        <n v="0.68782573731347862"/>
        <n v="-0.13597393689986262"/>
        <n v="0.20748805851708946"/>
        <n v="7.2438437152668761E-2"/>
        <n v="3.4954950925786148E-2"/>
        <n v="-1.8681499602178311E-2"/>
        <n v="0.38709072305593439"/>
        <n v="0.18658458493977084"/>
        <n v="-9.6634705434907195E-2"/>
        <n v="0.11365573811873982"/>
        <n v="-0.20825969023084764"/>
        <n v="-0.24370528563801391"/>
        <n v="-4.0719986016385545E-2"/>
        <n v="-0.17588122224275132"/>
        <n v="0.2023625590420482"/>
        <n v="-6.0473980464867343E-2"/>
        <n v="-0.30641352860956445"/>
        <n v="1.9967135406726403E-2"/>
        <n v="-0.26104379449525028"/>
        <n v="-7.3475788189944161E-3"/>
        <n v="-5.4459723442792339E-2"/>
        <n v="-5.3359337169363655E-2"/>
        <n v="5.8849804883218747E-2"/>
        <n v="-0.37931008568779956"/>
        <n v="-0.18078572983415242"/>
        <n v="-0.11728038970611797"/>
        <n v="0.13654703284529249"/>
        <n v="0.23940249435762856"/>
        <n v="8.6816359487168093E-2"/>
        <n v="2.1104624889666545E-3"/>
        <n v="-0.19368862671552869"/>
        <n v="3.2185162557019243E-3"/>
        <n v="0.24809365597844052"/>
        <n v="-1.7793527672489002E-2"/>
        <n v="-7.9215270840506252E-2"/>
        <n v="-0.38921510573108636"/>
        <n v="-0.29622183065775198"/>
        <n v="3.3691193157021855E-2"/>
        <n v="-0.19311201991507934"/>
        <n v="-5.190102593572446E-2"/>
        <n v="-0.18022492888407834"/>
        <n v="7.4270439834758298E-2"/>
        <n v="-0.25854575081543829"/>
        <n v="6.9218817830785734E-2"/>
        <n v="-4.7015277788770148E-2"/>
        <n v="-0.24182441605237437"/>
        <n v="-0.11467050920104914"/>
        <n v="-0.14625977160532164"/>
        <n v="-0.20657734908657926"/>
        <n v="-4.2004257739620465E-2"/>
        <n v="6.3764172063550159E-2"/>
        <n v="-6.1942316755823602E-2"/>
        <n v="-0.31103288167296256"/>
        <n v="-0.21204618560465346"/>
        <n v="2.6381413034781989E-2"/>
        <n v="-0.15038818301801873"/>
        <n v="0.32929635813581071"/>
        <n v="9.6381962777213927E-3"/>
        <n v="-0.10371487392660131"/>
        <n v="-7.2847740598582317E-2"/>
        <n v="-0.28714873335828667"/>
        <n v="3.405784800041349E-2"/>
        <n v="-0.17928259325191284"/>
        <n v="-0.2841328662356194"/>
        <n v="-7.2886179137835244E-3"/>
        <n v="0.10925209941729529"/>
        <n v="-0.22041345962549999"/>
        <n v="9.8551009584012181E-3"/>
        <n v="1.1625745977081041E-2"/>
        <n v="0.45857257818956904"/>
        <n v="-0.19506524326527713"/>
        <n v="1.0074786884164348E-2"/>
        <n v="-0.24792435054908254"/>
        <n v="-4.4435192523470668E-2"/>
        <n v="0.73379906058434829"/>
        <n v="-0.15198003662635087"/>
        <n v="5.1137766686463037E-3"/>
        <n v="6.0815219143668289E-2"/>
        <n v="7.8572293877833516E-2"/>
        <n v="-5.7363713341812672E-2"/>
        <n v="-0.23749244078595466"/>
        <n v="-0.16869922860650416"/>
        <n v="-5.1470747248749157E-2"/>
        <n v="-8.8295737739943939E-2"/>
        <n v="0.11950017380063792"/>
        <n v="-0.24912247949176877"/>
        <n v="-0.11672954655863767"/>
        <n v="-6.4606331757592617E-2"/>
        <n v="-0.26015193083925525"/>
        <n v="1.9315155611998217E-2"/>
        <n v="-5.2544351217182095E-2"/>
        <n v="4.5899964635707077E-3"/>
        <n v="2.7522560208123055E-2"/>
        <n v="0.1964099847761426"/>
        <n v="0.29980491091291966"/>
        <n v="-0.13245444761940095"/>
        <n v="-0.27816953067690536"/>
        <n v="-0.13267642082214712"/>
        <n v="-3.0628954077273118E-2"/>
        <n v="-0.27871140070759903"/>
        <n v="-2.115905338927335E-2"/>
        <n v="-0.20309117683827588"/>
        <n v="-0.12146066474352149"/>
        <n v="-0.26555448151728273"/>
        <n v="0.29431860735125992"/>
        <n v="5.1512203582834426E-2"/>
        <n v="-0.19816297394230153"/>
        <n v="-0.1960536529080758"/>
        <n v="0.29373788536539169"/>
        <n v="8.8040096987266905E-2"/>
        <n v="2.4403942928898026E-2"/>
        <n v="-0.17042553328317231"/>
        <n v="8.0636577038486798E-2"/>
        <n v="1.9006778778342819E-2"/>
        <n v="-0.34428093504015039"/>
        <n v="5.2835806971739487E-2"/>
        <n v="-6.9386970988762731E-2"/>
        <n v="0.49209265537362673"/>
        <n v="-0.29143572768664838"/>
        <n v="-0.34329443005802512"/>
        <n v="-2.9118775299520248E-2"/>
        <n v="-0.10777653750753953"/>
        <n v="0.67121077642794968"/>
        <n v="-0.22081378361382822"/>
        <n v="5.0899611645140515E-2"/>
        <n v="-8.538549005954138E-2"/>
        <n v="-6.6213675552865864E-2"/>
        <n v="-0.1614563353183151"/>
        <n v="-0.24806783588805029"/>
        <n v="0.60425010012014424"/>
        <n v="5.3145135626601068E-3"/>
        <n v="0.57536584225536491"/>
        <n v="-0.23819912346085897"/>
        <n v="-0.11319818726447872"/>
        <n v="-0.19701594788518501"/>
        <n v="1.4764659401689268E-2"/>
        <n v="-3.9379449167185006E-2"/>
        <n v="-0.31602347501333822"/>
        <n v="4.0550716775765952E-2"/>
        <n v="0.70463983899988913"/>
        <n v="0.25998965157032533"/>
        <n v="4.4388156583649224E-2"/>
        <n v="2.5075973083046189E-2"/>
        <n v="0.56351510125095028"/>
        <n v="-2.8077201012669518E-2"/>
        <n v="0.11717242874941701"/>
        <n v="-0.15845531906485957"/>
        <n v="0.18283928539304231"/>
        <n v="1.7438304164419303E-2"/>
        <n v="-7.3936650000874599E-2"/>
        <n v="-7.1832592539626025E-2"/>
        <n v="-0.23389003235685268"/>
        <n v="-0.30149768850060138"/>
        <n v="-2.1255605405828014E-2"/>
        <n v="6.6761773064941535E-2"/>
        <n v="-8.9087041662012801E-3"/>
        <n v="-0.14185219507049443"/>
        <n v="-5.1087083875348029E-2"/>
        <n v="0.14521750650805393"/>
        <n v="-0.24474645264615588"/>
        <n v="-0.16124735839862137"/>
        <n v="3.4168978958235667E-2"/>
        <n v="0.12455372525559717"/>
        <n v="8.9257281411365394E-2"/>
        <n v="0.75114284311950053"/>
        <n v="0.10231030443228484"/>
        <n v="-4.5391872051212666E-2"/>
        <n v="4.7248387106178395E-2"/>
        <n v="0.53942285831275649"/>
        <n v="-0.13440425286027965"/>
        <n v="9.9199744105496437E-2"/>
        <n v="8.4331004591810282E-2"/>
        <n v="-0.24847372148067001"/>
        <n v="-0.21645215707148227"/>
        <n v="0.28026303237245598"/>
        <n v="-0.16147408433679858"/>
        <n v="-0.32476811795884258"/>
        <n v="-0.27538481916502627"/>
        <n v="-9.0231481932017271E-2"/>
        <n v="-0.14314934473950436"/>
        <n v="-2.6742408135739269E-2"/>
        <n v="-0.10262306882583913"/>
        <n v="7.6180930729052077E-2"/>
        <n v="0.55457509140907524"/>
        <n v="-0.23297535481430859"/>
        <n v="0.10546120871980164"/>
        <n v="3.0719943890159536E-2"/>
        <n v="-0.28755419185061276"/>
        <n v="-0.11442944297810924"/>
        <n v="0.24228509531042119"/>
        <n v="-0.20842297691485295"/>
        <n v="0.16543206505041952"/>
        <n v="-0.29647447897167095"/>
        <n v="-7.2551112223790751E-3"/>
        <n v="2.4091723781322215E-3"/>
        <n v="-0.14217683866037067"/>
        <n v="0.29078893317093268"/>
        <n v="-3.7548846938414739E-2"/>
        <n v="6.709984474590998E-3"/>
        <n v="4.4890335937551339E-2"/>
        <n v="-0.20603728393558321"/>
        <n v="1.9854610510308464E-2"/>
        <n v="0.10967209977950049"/>
        <n v="-0.22606754127254419"/>
        <n v="0.25055203950342536"/>
        <n v="-0.35785560702461872"/>
        <n v="6.2977355476814864E-2"/>
        <n v="0.15242472413104835"/>
        <n v="-2.702052448799826E-2"/>
        <n v="0.54738264581653928"/>
        <n v="-3.3351419655608082E-2"/>
        <n v="5.3759924409412962E-2"/>
        <n v="-8.322481620102988E-2"/>
        <n v="2.3165069753266317E-2"/>
        <n v="-6.1493775727119039E-2"/>
        <n v="8.7766925425529496E-2"/>
        <n v="1.3967295831572881E-2"/>
        <n v="-0.11706901581573867"/>
        <n v="-7.2278201025677405E-2"/>
        <n v="8.4964711795367562E-2"/>
        <n v="-0.26166474884548074"/>
        <n v="-0.11124234656219938"/>
        <n v="0.21688652739997488"/>
        <n v="-0.13328222220182129"/>
        <n v="-0.20722987225413908"/>
        <n v="-0.25823088442996789"/>
        <n v="-0.21341174342301128"/>
        <n v="-0.25829826794052785"/>
        <n v="3.3832760273485682E-2"/>
        <n v="4.8373444073816817E-3"/>
        <n v="-0.18853163465170525"/>
        <n v="0.11311099029063998"/>
        <n v="-0.16220527943859361"/>
        <n v="-0.28402422277569511"/>
        <n v="-0.20031020890509477"/>
        <n v="-0.14311916535212821"/>
        <n v="-0.11453608519684949"/>
        <n v="0.13026108735990907"/>
        <n v="0.52031664885470941"/>
        <n v="-0.13843442007591455"/>
        <n v="-2.1332958112288934E-3"/>
        <n v="-4.6254229103060762E-2"/>
        <n v="1.0712953184569443E-3"/>
        <n v="2.0710617658015695E-2"/>
        <n v="-4.1461974821833031E-2"/>
        <n v="4.8078849939564468E-2"/>
        <n v="0.39933156973917439"/>
        <n v="-6.3109444976011689E-2"/>
        <n v="6.6198420609991662E-2"/>
        <n v="3.837966394479044E-3"/>
        <n v="-6.9982395060493835E-2"/>
        <n v="1.5719574543104069E-2"/>
        <n v="-0.40229579704148571"/>
        <n v="1.8291801445957864E-2"/>
        <n v="-0.23056870568384469"/>
        <n v="-0.16642947796672647"/>
        <n v="-3.5428817435140501E-2"/>
        <n v="0.11115662483203818"/>
        <n v="0.19258847074173371"/>
        <n v="-0.21714530729584192"/>
        <n v="-0.21945524663566404"/>
        <n v="-0.27795474014254951"/>
        <n v="-8.9713048327941469E-2"/>
        <n v="-0.20042033653803079"/>
        <n v="6.1281554207989183E-2"/>
        <n v="0.13787468820287252"/>
        <n v="-0.13826495855827781"/>
        <n v="-8.6179638392629557E-2"/>
        <n v="-2.0222212854266022E-2"/>
        <n v="0.22067101130200584"/>
        <n v="-0.22904869862311156"/>
        <n v="-7.7713333422013003E-3"/>
        <n v="-0.2026402165726032"/>
        <n v="-0.34966716977927953"/>
        <n v="5.5748262676248099E-2"/>
        <n v="-0.12253999070755336"/>
        <n v="8.51655077331432E-2"/>
        <n v="-0.16029387163380984"/>
        <n v="6.3147095168912787E-2"/>
        <n v="-0.20036985463681289"/>
        <n v="-0.31232991282731271"/>
        <n v="-0.15896394442215059"/>
        <n v="-0.2572185181751781"/>
        <n v="-0.22700621310878982"/>
        <n v="-8.8151288755707172E-2"/>
        <n v="3.6487152159997913E-2"/>
        <n v="-9.546013569254258E-2"/>
        <n v="8.6464378473047436E-3"/>
        <n v="-0.37070063372061418"/>
        <n v="-3.5376731738405567E-2"/>
        <n v="-0.10585976671061634"/>
        <n v="0.22890016359922599"/>
        <n v="-4.8955162958118373E-2"/>
        <n v="-0.29734537703328051"/>
        <n v="-0.37560469371332389"/>
        <n v="7.2687185376009295E-2"/>
        <n v="0.10458467051171687"/>
        <n v="0.22420618045106044"/>
        <n v="6.4924044091667729E-2"/>
        <n v="-0.22561614003209143"/>
        <n v="-0.21570977285262974"/>
        <n v="6.6367584983380593E-2"/>
        <n v="-0.11395889759686034"/>
        <n v="-0.18409354769423736"/>
        <n v="-0.16790952331543257"/>
        <n v="-8.0506232105222911E-2"/>
        <n v="-7.9691195376118268E-2"/>
        <n v="-9.7846323179349142E-3"/>
        <n v="-4.1870091156618272E-2"/>
        <n v="-0.33967060082647088"/>
        <n v="-5.1952286446451786E-2"/>
        <n v="0.58685643999297132"/>
        <n v="-4.1196022386358784E-2"/>
        <n v="-5.4881047415985228E-2"/>
        <n v="8.211848261168124E-2"/>
        <n v="5.0043107591199752E-2"/>
        <n v="-0.16245610396959179"/>
        <n v="0.15780760039333225"/>
        <n v="0.26331613986832764"/>
        <n v="-8.8415883254499242E-2"/>
        <n v="0.15687536987413295"/>
        <n v="-0.34855039568434154"/>
        <n v="4.9023678272614016E-2"/>
        <n v="-0.1737082027243643"/>
        <n v="0.32364788908318765"/>
        <n v="-4.5942684162163655E-2"/>
        <n v="-0.245302873836271"/>
        <n v="-0.18291901113910264"/>
        <n v="0.44843877899285006"/>
        <n v="-0.29212442353212031"/>
        <n v="0.49575632630307731"/>
        <n v="3.2986638401890214E-2"/>
        <n v="9.1841583747496847E-2"/>
        <n v="0.16370469679928465"/>
        <n v="-1.6130662937794471E-2"/>
        <n v="-4.2251287621089748E-2"/>
        <n v="4.3806298988572086E-2"/>
        <n v="0.37894395640015593"/>
        <n v="-0.24165376853299098"/>
        <n v="1.104628522552209E-2"/>
        <n v="7.0232062472735723E-2"/>
        <n v="0.17591035861187601"/>
        <n v="-1.7144903639536375E-2"/>
        <n v="0.18903500870713982"/>
        <n v="-0.3223944672801447"/>
        <n v="-0.1006733471343955"/>
        <n v="-3.3003929077944832E-2"/>
        <n v="-0.18255335811508341"/>
        <n v="-1.2498153361908966E-2"/>
        <n v="-1.2882261908250075E-2"/>
        <n v="-0.20995190608991429"/>
        <n v="-3.2256870226626821E-2"/>
        <n v="-5.525992593099565E-2"/>
        <n v="-8.0898342561628575E-2"/>
        <n v="-0.11920690471443016"/>
        <n v="0.13261168506047047"/>
        <n v="0.71382517556709024"/>
        <n v="9.6385868746146963E-2"/>
        <n v="-0.33366823034938853"/>
        <n v="-3.5818616633212626E-2"/>
        <n v="0.15395591865199273"/>
        <n v="-2.5853969124770069E-3"/>
        <n v="-0.15192234539336083"/>
        <n v="0.74402671977770019"/>
        <n v="0.17676608867285459"/>
        <n v="-2.8640072525949696E-2"/>
        <n v="-0.12400986482357991"/>
        <n v="7.8121455307903112E-2"/>
        <n v="0.1827298019801129"/>
        <n v="0.10999811380793389"/>
        <n v="-0.2773097733031985"/>
        <n v="-9.0411558178166027E-2"/>
        <n v="0.15021928811297625"/>
        <n v="-9.148242140569518E-2"/>
        <n v="-0.19621753277747944"/>
        <n v="5.3013098946161359E-2"/>
        <n v="0.16765073975594988"/>
        <n v="-0.2421179695896952"/>
        <n v="-4.6023801874074885E-2"/>
        <n v="0.48584218450623662"/>
        <n v="0.21390142928187136"/>
        <n v="-0.31609981970833628"/>
        <n v="0.15445977965712729"/>
        <n v="4.2461795825528746E-2"/>
        <n v="-0.12458516024321124"/>
        <n v="-6.7655571537020939E-2"/>
        <n v="-6.563093779958841E-2"/>
        <n v="0.56136628832078073"/>
        <n v="-5.083829311282325E-2"/>
        <n v="1.7656048350324166E-2"/>
        <n v="0.16563170947883216"/>
        <n v="0.81808940370776606"/>
        <n v="-0.2539959578723946"/>
        <n v="8.317050670465935E-2"/>
        <n v="-0.26020335655280052"/>
        <n v="-0.23706273560392915"/>
        <n v="0.1530179229394503"/>
        <n v="-2.3853305159668325E-2"/>
        <n v="0.16750394001194482"/>
        <n v="-0.18647617717807316"/>
        <n v="0.10183537415956539"/>
        <n v="-7.4093303074419914E-2"/>
        <n v="0.11968228325255791"/>
        <n v="-0.30912109484547645"/>
        <n v="-0.23901751958115308"/>
        <n v="-0.12300004098153169"/>
        <n v="-0.17884962731858234"/>
        <n v="4.6730641425407157E-2"/>
        <n v="-0.35191691426529553"/>
        <n v="8.358436888012781E-2"/>
        <n v="-4.0213370007869009E-2"/>
        <n v="6.8373205380526381E-2"/>
        <n v="-1.6230789388312614E-2"/>
        <n v="-0.30551424791437026"/>
        <n v="-0.20571433704701722"/>
        <n v="0.64722517401158253"/>
        <n v="1.2629457477593179E-2"/>
        <n v="-0.1390313465798288"/>
        <n v="0.53557008093574021"/>
        <n v="9.3859641170231128E-2"/>
        <n v="-0.21436603488524325"/>
        <n v="-6.3339750815632964E-2"/>
        <n v="-0.23065691523017751"/>
        <n v="0.41478002484775506"/>
        <n v="-9.8973998428599025E-2"/>
        <n v="-5.0472671692673422E-2"/>
        <n v="-0.16540989841408407"/>
        <n v="-0.27748339814266815"/>
        <n v="0.40202561170302942"/>
        <n v="-5.7847189259541852E-3"/>
        <n v="0.12243910526440159"/>
        <n v="-0.1192354952856724"/>
        <n v="0.17233954108338892"/>
        <n v="-0.16616009318059571"/>
        <n v="-7.346920386124281E-2"/>
        <n v="-8.2547344189859956E-2"/>
        <n v="-0.16961800840035121"/>
        <n v="7.9613397100522204E-2"/>
        <n v="2.0074018728981242E-2"/>
        <n v="0.13510357792306799"/>
        <n v="-0.11738693433333565"/>
        <n v="-0.33308852103427933"/>
        <n v="0.10417301272111948"/>
        <n v="4.5116637309043729E-2"/>
        <n v="1.5798904590193591E-2"/>
        <n v="0.12267430077958671"/>
        <n v="3.899395843851123E-3"/>
        <n v="6.1250230304975069E-2"/>
        <n v="4.1534828260403167E-2"/>
        <n v="-0.3811182644768249"/>
        <n v="5.0376968537723305E-2"/>
        <n v="-0.32859044549649169"/>
        <n v="-0.14353750769187887"/>
        <n v="8.6590704073969946E-2"/>
        <n v="4.5173899707294178E-2"/>
        <n v="-0.1223102311912211"/>
        <n v="-9.3242651750768596E-2"/>
        <n v="4.8485376539199432E-2"/>
        <n v="-0.14566794845747477"/>
        <n v="-7.7570978436534849E-2"/>
        <n v="0.11753941202318396"/>
        <n v="3.1624745433497921E-2"/>
        <n v="-0.20927865125428113"/>
        <n v="-5.0636738327725944E-2"/>
        <n v="-3.1408246925488263E-2"/>
        <n v="8.3454671710681966E-2"/>
        <n v="0.69692877488602634"/>
        <n v="-7.0736197847868394E-3"/>
        <n v="-0.34923475545588262"/>
        <n v="3.5671104130830342E-2"/>
        <n v="-6.0531433681407919E-2"/>
        <n v="0.56799771990879633"/>
        <n v="-1.8040066927437139E-3"/>
        <n v="-0.34076090014302235"/>
        <n v="-6.6629985921067919E-2"/>
        <n v="0.68312329233091118"/>
        <n v="-0.25125001213445886"/>
        <n v="-0.10314035061982252"/>
        <n v="-0.37287304980855807"/>
        <n v="-3.8618519939883647E-2"/>
        <n v="-7.9124410221252453E-2"/>
        <n v="0.26494879418566236"/>
        <n v="5.6410018974603696E-2"/>
        <n v="0.15898118100595929"/>
        <n v="1.8023951597600694E-2"/>
        <n v="-8.4717145925508247E-2"/>
        <n v="0.79489732781623412"/>
        <n v="-3.2728389524012011E-2"/>
        <n v="6.0170485982778091E-2"/>
        <n v="-0.23609682831272374"/>
        <n v="-6.0750164875347373E-2"/>
        <n v="7.0392439666318807E-2"/>
        <n v="-0.11337962506712038"/>
        <n v="-0.12297799842453334"/>
        <n v="-1.7522911206752156E-2"/>
        <n v="-0.31420345091204499"/>
        <n v="-0.17240897729868915"/>
        <n v="-9.1513341070963955E-2"/>
        <n v="-0.11350763885651936"/>
        <n v="6.6674326218452817E-2"/>
        <n v="2.2400994371409848E-2"/>
        <n v="-0.31409068793532074"/>
        <n v="-0.11824416118365975"/>
        <n v="-0.31060465893968486"/>
        <n v="-0.17793595342287186"/>
        <n v="-0.20411484916960307"/>
        <n v="-6.6370790460183418E-2"/>
        <n v="0.10290825083292261"/>
        <n v="0.49263793606772738"/>
        <n v="-0.11244552299847341"/>
        <n v="-6.8567011381442999E-2"/>
        <n v="-9.3622602715445299E-2"/>
        <n v="0.14349042545639332"/>
        <n v="-6.2546543687679229E-2"/>
        <n v="4.1940126438762243E-2"/>
        <n v="-9.6436835981947841E-2"/>
        <n v="-0.21639278924095287"/>
        <n v="7.6677129926664995E-4"/>
        <n v="-0.15389337974211162"/>
        <n v="0.38564238664906336"/>
        <n v="-0.13214379579072325"/>
        <n v="-0.1736089600803605"/>
        <n v="0.3286254875589108"/>
        <n v="3.8260980445804588E-2"/>
        <n v="0.30259631093124778"/>
        <n v="1.769365343270515E-2"/>
        <n v="9.2229148010416581E-2"/>
        <n v="-0.24231679233008771"/>
        <n v="-1.008767424285692E-2"/>
        <n v="6.8269643623872875E-2"/>
        <n v="0.14353456707103218"/>
        <n v="-2.5314640665754347E-2"/>
        <n v="-0.28925214584130815"/>
        <n v="8.5320964833336177E-2"/>
        <n v="1.878808977180273E-2"/>
        <n v="3.8500043921066054E-2"/>
        <n v="-0.16099456790300226"/>
        <n v="-0.31788751793362596"/>
        <n v="-6.1610592339634167E-2"/>
        <n v="-0.34749389834105654"/>
        <n v="-8.5068433915139408E-2"/>
        <n v="4.170257756349964E-2"/>
        <n v="-0.17228980643614789"/>
        <n v="0.12833714625613776"/>
        <n v="-9.1629629629629589E-2"/>
        <n v="0.51314869711138067"/>
        <n v="0.63249135457104455"/>
        <n v="-0.11778566668455362"/>
        <n v="3.5341262547712506E-2"/>
        <n v="2.9761811914083888E-2"/>
        <n v="-0.16617305115452341"/>
        <n v="-7.7873503039822323E-2"/>
        <n v="6.043507158658503E-2"/>
        <n v="0.23704408687034129"/>
        <n v="-1.2909383927372129E-2"/>
        <n v="-0.12461687742022301"/>
        <n v="-0.137494315389804"/>
        <n v="0.2497596282697255"/>
        <n v="-0.26299148236041708"/>
        <n v="2.9687037966675062E-2"/>
        <n v="0.19823305619200379"/>
        <n v="0.72144936898670509"/>
        <n v="-0.16360392656124376"/>
        <n v="3.8762870381369045E-2"/>
        <n v="-0.19411374118820526"/>
        <n v="0.17369176748219436"/>
        <n v="2.7576777810059402E-2"/>
        <n v="-0.15551943234091914"/>
        <n v="-0.24839914015188549"/>
        <n v="5.2946034837882926E-2"/>
        <n v="-0.25872816411424621"/>
        <n v="2.4778795038135303E-2"/>
        <n v="0.31245434811565248"/>
        <n v="-0.1380027580268568"/>
        <n v="-0.24907073675161287"/>
        <n v="0.11127305472896822"/>
        <n v="-4.9856138918106245E-2"/>
        <n v="0.47937281342268451"/>
        <n v="0.26578344120819847"/>
        <n v="-0.18700271274132171"/>
        <n v="-6.6679528703156049E-2"/>
        <n v="0.15488858782706699"/>
        <n v="-9.1072794951011227E-3"/>
        <n v="-8.9561385442465266E-2"/>
        <n v="6.1471856606916696E-2"/>
        <n v="-0.186383714421131"/>
        <n v="0.12420051681033889"/>
        <n v="6.6053230333211563E-3"/>
        <n v="-0.24244696489711307"/>
        <n v="-3.8950697271034389E-2"/>
        <n v="9.5492448381244072E-2"/>
        <n v="-0.32053929276190735"/>
        <n v="7.537362422951552E-3"/>
        <n v="4.9373545483640202E-2"/>
        <n v="-0.23044073969179993"/>
        <n v="-6.5769460981387265E-2"/>
        <n v="-6.1341777517396119E-2"/>
        <n v="-0.13570375705568716"/>
        <n v="0.39416035157345497"/>
        <n v="0.47374670099567012"/>
        <n v="-5.4503051868994394E-2"/>
        <n v="-0.22519918405429873"/>
        <n v="-0.33562164158669588"/>
        <n v="-0.16836923065654374"/>
        <n v="-4.7814194094322325E-2"/>
        <n v="-7.5845276591920592E-3"/>
        <n v="-0.21512992733329145"/>
        <n v="-3.7101959801347575E-2"/>
        <n v="8.7851648994615589E-2"/>
        <n v="5.1124901776524387E-2"/>
        <n v="-9.3438666454861291E-3"/>
        <n v="0.18924561056540753"/>
        <n v="-4.8087985357849465E-2"/>
        <n v="-5.1977385091459119E-2"/>
        <n v="-2.7682035586810778E-2"/>
        <n v="-2.6970260127361045E-2"/>
        <n v="7.6114159206853327E-2"/>
        <n v="-0.15728082509049027"/>
        <n v="-6.4362074776030259E-2"/>
        <n v="0.29232771350404591"/>
        <n v="-4.0311212122876139E-2"/>
        <n v="0.31416584299840261"/>
        <n v="-4.9926881505822619E-2"/>
        <n v="0.8040155923933392"/>
        <n v="0.44650996737045751"/>
        <n v="-0.24025534844275059"/>
        <n v="-2.7778349177816821E-2"/>
        <n v="4.3140870661499998E-3"/>
        <n v="-0.20827837766297316"/>
        <n v="-0.24657597392349259"/>
        <n v="1.2989628484067725E-2"/>
        <n v="-1.9338159156648313E-2"/>
        <n v="1.8935177365679522E-2"/>
        <n v="-5.7982617891798476E-2"/>
        <n v="4.1012937882525913E-2"/>
        <n v="9.6997877459646924E-3"/>
        <n v="0.58034345032123635"/>
        <n v="0.26296373436336329"/>
        <n v="-0.13052708976234098"/>
        <n v="-7.4861195153015356E-2"/>
        <n v="-0.20488720410085989"/>
        <n v="-8.3876791673656456E-2"/>
        <n v="-6.4194755821089564E-2"/>
        <n v="-8.0114303609175541E-2"/>
        <n v="0.19064555778449502"/>
        <n v="-7.4280772290991851E-2"/>
        <n v="-0.20417001729751957"/>
        <n v="5.554795430440633E-2"/>
        <n v="5.8554452666627226E-2"/>
        <n v="-0.16554846144675658"/>
        <n v="0.13343168144168704"/>
        <n v="0.62500190899441799"/>
        <n v="-8.3739350887889405E-3"/>
        <n v="-7.3952578979818176E-2"/>
        <n v="-0.22008587781542485"/>
        <n v="-0.12011616495131221"/>
        <n v="-0.22614620994764131"/>
        <n v="-2.9307373436037464E-2"/>
        <n v="-0.1621247319513939"/>
        <n v="3.327986597484936E-2"/>
        <n v="-0.28599769532336078"/>
        <n v="5.6466130292260287E-3"/>
        <n v="-2.397322653120564E-3"/>
        <n v="-0.13908013265990046"/>
        <n v="-0.11189055764718239"/>
        <n v="-4.456335340761506E-2"/>
        <n v="9.7985372199775836E-2"/>
        <n v="0.17031493281978907"/>
        <n v="0.25936987141905538"/>
        <n v="0.15439676614067829"/>
        <n v="-0.18154894136685532"/>
        <n v="8.8232914480603913E-2"/>
        <n v="0.21385318110131163"/>
        <n v="-0.12956228959004207"/>
        <n v="-0.15432155557600064"/>
        <n v="-9.719071857955762E-2"/>
        <n v="8.9029988933568532E-2"/>
        <n v="-8.5596184900648908E-2"/>
        <n v="-0.32033125821505121"/>
        <n v="-0.36537142476609075"/>
        <n v="0.1128636667938188"/>
        <n v="-0.20931143030177671"/>
        <n v="-1.9894268224819166E-2"/>
        <n v="1.8052609936876534E-3"/>
        <n v="0.82091321872291856"/>
        <n v="-0.26047370710631468"/>
        <n v="-6.2744215080554767E-3"/>
        <n v="-4.9561487518074925E-2"/>
        <n v="-0.13150582626097379"/>
        <n v="0.2214504576399767"/>
        <n v="2.7878947383975661E-2"/>
        <n v="8.9300213098651784E-2"/>
        <n v="-6.1788182610925856E-2"/>
        <n v="-0.22647606336271986"/>
        <n v="-0.11256177391933421"/>
        <n v="-0.10439197079110493"/>
        <n v="-0.28072938530982133"/>
        <n v="-0.23172168083308189"/>
        <n v="-0.10960651788590968"/>
        <n v="0.79242646295805885"/>
        <n v="0.41921792404357788"/>
      </sharedItems>
    </cacheField>
    <cacheField name="Months (Month_Date)" numFmtId="0" databaseField="0">
      <fieldGroup base="2">
        <rangePr groupBy="months" startDate="2023-01-01T00:00:00" endDate="2024-01-02T00:00:00"/>
        <groupItems count="14">
          <s v="&lt;01-01-2023"/>
          <s v="Jan"/>
          <s v="Feb"/>
          <s v="Mar"/>
          <s v="Apr"/>
          <s v="May"/>
          <s v="Jun"/>
          <s v="Jul"/>
          <s v="Aug"/>
          <s v="Sep"/>
          <s v="Oct"/>
          <s v="Nov"/>
          <s v="Dec"/>
          <s v="&gt;02-01-2024"/>
        </groupItems>
      </fieldGroup>
    </cacheField>
    <cacheField name="Quarters (Month_Date)" numFmtId="0" databaseField="0">
      <fieldGroup base="2">
        <rangePr groupBy="quarters" startDate="2023-01-01T00:00:00" endDate="2024-01-02T00:00:00"/>
        <groupItems count="6">
          <s v="&lt;01-01-2023"/>
          <s v="Qtr1"/>
          <s v="Qtr2"/>
          <s v="Qtr3"/>
          <s v="Qtr4"/>
          <s v="&gt;02-01-2024"/>
        </groupItems>
      </fieldGroup>
    </cacheField>
    <cacheField name="Years (Month_Date)" numFmtId="0" databaseField="0">
      <fieldGroup base="2">
        <rangePr groupBy="years" startDate="2023-01-01T00:00:00" endDate="2024-01-02T00:00:00"/>
        <groupItems count="4">
          <s v="&lt;01-01-2023"/>
          <s v="2023"/>
          <s v="2024"/>
          <s v="&gt;02-01-2024"/>
        </groupItems>
      </fieldGroup>
    </cacheField>
    <cacheField name="Field1" numFmtId="0" formula="'Total Amount after sale'/'Price after discount'" databaseField="0"/>
    <cacheField name="Field2" numFmtId="0" formula="'Profit Margin %'" databaseField="0"/>
  </cacheFields>
  <extLst>
    <ext xmlns:x14="http://schemas.microsoft.com/office/spreadsheetml/2009/9/main" uri="{725AE2AE-9491-48be-B2B4-4EB974FC3084}">
      <x14:pivotCacheDefinition pivotCacheId="215873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8"/>
    <d v="2023-01-01T00:00:00"/>
    <x v="0"/>
    <s v="Eve"/>
    <x v="0"/>
    <n v="5227.8100000000004"/>
    <n v="38"/>
    <x v="0"/>
    <n v="4635.2299999999996"/>
    <n v="5075.4399999999996"/>
    <s v="Returning"/>
    <x v="0"/>
    <s v="Cash"/>
    <x v="0"/>
    <x v="0"/>
    <n v="183223.38399999999"/>
    <x v="0"/>
    <x v="0"/>
    <x v="0"/>
  </r>
  <r>
    <n v="1089"/>
    <d v="2023-01-01T00:00:00"/>
    <x v="0"/>
    <s v="Charlie"/>
    <x v="0"/>
    <n v="8130.13"/>
    <n v="35"/>
    <x v="0"/>
    <n v="4071.01"/>
    <n v="4304.7"/>
    <s v="New"/>
    <x v="1"/>
    <s v="Credit Card"/>
    <x v="0"/>
    <x v="1"/>
    <n v="129571.47"/>
    <x v="1"/>
    <x v="1"/>
    <x v="1"/>
  </r>
  <r>
    <n v="1070"/>
    <d v="2023-01-01T00:00:00"/>
    <x v="0"/>
    <s v="Eve"/>
    <x v="1"/>
    <n v="783.18"/>
    <n v="12"/>
    <x v="1"/>
    <n v="664.33"/>
    <n v="863.03"/>
    <s v="Returning"/>
    <x v="2"/>
    <s v="Bank Transfer"/>
    <x v="1"/>
    <x v="2"/>
    <n v="7767.27"/>
    <x v="2"/>
    <x v="1"/>
    <x v="2"/>
  </r>
  <r>
    <n v="1064"/>
    <d v="2023-01-02T00:00:00"/>
    <x v="0"/>
    <s v="David"/>
    <x v="1"/>
    <n v="5533.7"/>
    <n v="10"/>
    <x v="2"/>
    <n v="2242.0100000000002"/>
    <n v="2282.23"/>
    <s v="Returning"/>
    <x v="3"/>
    <s v="Credit Card"/>
    <x v="0"/>
    <x v="3"/>
    <n v="18257.84"/>
    <x v="3"/>
    <x v="1"/>
    <x v="3"/>
  </r>
  <r>
    <n v="1075"/>
    <d v="2023-01-02T00:00:00"/>
    <x v="0"/>
    <s v="David"/>
    <x v="2"/>
    <n v="919.09"/>
    <n v="26"/>
    <x v="2"/>
    <n v="4535.38"/>
    <n v="4557.5600000000004"/>
    <s v="New"/>
    <x v="4"/>
    <s v="Credit Card"/>
    <x v="0"/>
    <x v="4"/>
    <n v="118496.56000000001"/>
    <x v="4"/>
    <x v="0"/>
    <x v="4"/>
  </r>
  <r>
    <n v="1099"/>
    <d v="2023-01-03T00:00:00"/>
    <x v="0"/>
    <s v="Bob"/>
    <x v="3"/>
    <n v="5613.1"/>
    <n v="31"/>
    <x v="1"/>
    <n v="4632.8500000000004"/>
    <n v="4711.7"/>
    <s v="New"/>
    <x v="5"/>
    <s v="Cash"/>
    <x v="1"/>
    <x v="5"/>
    <n v="115389.533"/>
    <x v="5"/>
    <x v="1"/>
    <x v="5"/>
  </r>
  <r>
    <n v="1087"/>
    <d v="2023-01-03T00:00:00"/>
    <x v="0"/>
    <s v="Charlie"/>
    <x v="3"/>
    <n v="8057.76"/>
    <n v="20"/>
    <x v="1"/>
    <n v="3625.94"/>
    <n v="3880.53"/>
    <s v="New"/>
    <x v="6"/>
    <s v="Bank Transfer"/>
    <x v="0"/>
    <x v="6"/>
    <n v="58984.055999999997"/>
    <x v="6"/>
    <x v="1"/>
    <x v="6"/>
  </r>
  <r>
    <n v="1027"/>
    <d v="2023-01-03T00:00:00"/>
    <x v="0"/>
    <s v="Bob"/>
    <x v="3"/>
    <n v="7648.22"/>
    <n v="30"/>
    <x v="1"/>
    <n v="745.93"/>
    <n v="1143.02"/>
    <s v="Returning"/>
    <x v="3"/>
    <s v="Credit Card"/>
    <x v="0"/>
    <x v="5"/>
    <n v="27432.480000000003"/>
    <x v="7"/>
    <x v="0"/>
    <x v="7"/>
  </r>
  <r>
    <n v="1064"/>
    <d v="2023-01-04T00:00:00"/>
    <x v="0"/>
    <s v="Eve"/>
    <x v="3"/>
    <n v="7412.11"/>
    <n v="10"/>
    <x v="2"/>
    <n v="4764.96"/>
    <n v="5074.42"/>
    <s v="New"/>
    <x v="7"/>
    <s v="Cash"/>
    <x v="0"/>
    <x v="7"/>
    <n v="44654.896000000001"/>
    <x v="8"/>
    <x v="1"/>
    <x v="8"/>
  </r>
  <r>
    <n v="1051"/>
    <d v="2023-01-04T00:00:00"/>
    <x v="0"/>
    <s v="Eve"/>
    <x v="0"/>
    <n v="4979.3599999999997"/>
    <n v="14"/>
    <x v="2"/>
    <n v="3686.81"/>
    <n v="3710.92"/>
    <s v="New"/>
    <x v="8"/>
    <s v="Bank Transfer"/>
    <x v="1"/>
    <x v="0"/>
    <n v="46757.591999999997"/>
    <x v="9"/>
    <x v="1"/>
    <x v="9"/>
  </r>
  <r>
    <n v="1002"/>
    <d v="2023-01-04T00:00:00"/>
    <x v="0"/>
    <s v="Bob"/>
    <x v="3"/>
    <n v="2716.34"/>
    <n v="17"/>
    <x v="1"/>
    <n v="1727.12"/>
    <n v="1865.83"/>
    <s v="New"/>
    <x v="5"/>
    <s v="Cash"/>
    <x v="0"/>
    <x v="5"/>
    <n v="25058.0969"/>
    <x v="10"/>
    <x v="1"/>
    <x v="10"/>
  </r>
  <r>
    <n v="1074"/>
    <d v="2023-01-04T00:00:00"/>
    <x v="0"/>
    <s v="Eve"/>
    <x v="1"/>
    <n v="7508.72"/>
    <n v="38"/>
    <x v="1"/>
    <n v="1394.74"/>
    <n v="1848.69"/>
    <s v="Returning"/>
    <x v="4"/>
    <s v="Bank Transfer"/>
    <x v="1"/>
    <x v="2"/>
    <n v="70250.22"/>
    <x v="11"/>
    <x v="0"/>
    <x v="11"/>
  </r>
  <r>
    <n v="1086"/>
    <d v="2023-01-04T00:00:00"/>
    <x v="0"/>
    <s v="Bob"/>
    <x v="1"/>
    <n v="6530.14"/>
    <n v="8"/>
    <x v="1"/>
    <n v="1569.31"/>
    <n v="1798.02"/>
    <s v="New"/>
    <x v="9"/>
    <s v="Credit Card"/>
    <x v="0"/>
    <x v="8"/>
    <n v="13377.2688"/>
    <x v="12"/>
    <x v="0"/>
    <x v="12"/>
  </r>
  <r>
    <n v="1090"/>
    <d v="2023-01-04T00:00:00"/>
    <x v="0"/>
    <s v="Eve"/>
    <x v="0"/>
    <n v="1028.3900000000001"/>
    <n v="14"/>
    <x v="1"/>
    <n v="4037.21"/>
    <n v="4323.71"/>
    <s v="Returning"/>
    <x v="10"/>
    <s v="Credit Card"/>
    <x v="0"/>
    <x v="0"/>
    <n v="44188.316200000001"/>
    <x v="13"/>
    <x v="1"/>
    <x v="13"/>
  </r>
  <r>
    <n v="1081"/>
    <d v="2023-01-05T00:00:00"/>
    <x v="0"/>
    <s v="Bob"/>
    <x v="1"/>
    <n v="1429.32"/>
    <n v="44"/>
    <x v="3"/>
    <n v="618.79"/>
    <n v="938.04"/>
    <s v="Returning"/>
    <x v="11"/>
    <s v="Cash"/>
    <x v="0"/>
    <x v="8"/>
    <n v="40035.547200000001"/>
    <x v="14"/>
    <x v="0"/>
    <x v="14"/>
  </r>
  <r>
    <n v="1023"/>
    <d v="2023-01-05T00:00:00"/>
    <x v="0"/>
    <s v="Alice"/>
    <x v="3"/>
    <n v="6442.09"/>
    <n v="2"/>
    <x v="0"/>
    <n v="575.32000000000005"/>
    <n v="914.77"/>
    <s v="Returning"/>
    <x v="12"/>
    <s v="Bank Transfer"/>
    <x v="0"/>
    <x v="9"/>
    <n v="1353.8596"/>
    <x v="15"/>
    <x v="0"/>
    <x v="15"/>
  </r>
  <r>
    <n v="1052"/>
    <d v="2023-01-05T00:00:00"/>
    <x v="0"/>
    <s v="Bob"/>
    <x v="0"/>
    <n v="8837.34"/>
    <n v="11"/>
    <x v="0"/>
    <n v="3451.59"/>
    <n v="3929.26"/>
    <s v="New"/>
    <x v="13"/>
    <s v="Credit Card"/>
    <x v="1"/>
    <x v="10"/>
    <n v="30255.302"/>
    <x v="16"/>
    <x v="1"/>
    <x v="16"/>
  </r>
  <r>
    <n v="1087"/>
    <d v="2023-01-06T00:00:00"/>
    <x v="0"/>
    <s v="Eve"/>
    <x v="1"/>
    <n v="7698.92"/>
    <n v="46"/>
    <x v="1"/>
    <n v="3702.51"/>
    <n v="3964.65"/>
    <s v="New"/>
    <x v="7"/>
    <s v="Bank Transfer"/>
    <x v="0"/>
    <x v="2"/>
    <n v="160489.03200000001"/>
    <x v="17"/>
    <x v="1"/>
    <x v="17"/>
  </r>
  <r>
    <n v="1062"/>
    <d v="2023-01-06T00:00:00"/>
    <x v="0"/>
    <s v="Eve"/>
    <x v="3"/>
    <n v="3439.72"/>
    <n v="15"/>
    <x v="0"/>
    <n v="4756.55"/>
    <n v="4888.46"/>
    <s v="New"/>
    <x v="14"/>
    <s v="Credit Card"/>
    <x v="0"/>
    <x v="7"/>
    <n v="52062.099000000002"/>
    <x v="18"/>
    <x v="1"/>
    <x v="18"/>
  </r>
  <r>
    <n v="1021"/>
    <d v="2023-01-07T00:00:00"/>
    <x v="0"/>
    <s v="Bob"/>
    <x v="0"/>
    <n v="2971.45"/>
    <n v="9"/>
    <x v="1"/>
    <n v="3365.28"/>
    <n v="3730.43"/>
    <s v="New"/>
    <x v="15"/>
    <s v="Bank Transfer"/>
    <x v="0"/>
    <x v="10"/>
    <n v="27866.312099999999"/>
    <x v="19"/>
    <x v="1"/>
    <x v="19"/>
  </r>
  <r>
    <n v="1069"/>
    <d v="2023-01-07T00:00:00"/>
    <x v="0"/>
    <s v="Alice"/>
    <x v="3"/>
    <n v="2574.5700000000002"/>
    <n v="6"/>
    <x v="3"/>
    <n v="1768.6"/>
    <n v="2152.1999999999998"/>
    <s v="New"/>
    <x v="2"/>
    <s v="Bank Transfer"/>
    <x v="1"/>
    <x v="9"/>
    <n v="9684.9"/>
    <x v="20"/>
    <x v="1"/>
    <x v="20"/>
  </r>
  <r>
    <n v="1085"/>
    <d v="2023-01-07T00:00:00"/>
    <x v="0"/>
    <s v="Eve"/>
    <x v="2"/>
    <n v="2719.89"/>
    <n v="16"/>
    <x v="3"/>
    <n v="472.08"/>
    <n v="842.46"/>
    <s v="New"/>
    <x v="4"/>
    <s v="Cash"/>
    <x v="1"/>
    <x v="11"/>
    <n v="13479.36"/>
    <x v="21"/>
    <x v="0"/>
    <x v="21"/>
  </r>
  <r>
    <n v="1065"/>
    <d v="2023-01-07T00:00:00"/>
    <x v="0"/>
    <s v="Eve"/>
    <x v="0"/>
    <n v="2365.87"/>
    <n v="6"/>
    <x v="0"/>
    <n v="2019.9"/>
    <n v="2116.7399999999998"/>
    <s v="New"/>
    <x v="16"/>
    <s v="Credit Card"/>
    <x v="0"/>
    <x v="0"/>
    <n v="11303.391599999999"/>
    <x v="22"/>
    <x v="1"/>
    <x v="22"/>
  </r>
  <r>
    <n v="1034"/>
    <d v="2023-01-07T00:00:00"/>
    <x v="0"/>
    <s v="David"/>
    <x v="2"/>
    <n v="3677.9"/>
    <n v="28"/>
    <x v="1"/>
    <n v="137.47"/>
    <n v="234.63"/>
    <s v="New"/>
    <x v="10"/>
    <s v="Bank Transfer"/>
    <x v="1"/>
    <x v="4"/>
    <n v="4795.8371999999999"/>
    <x v="23"/>
    <x v="0"/>
    <x v="23"/>
  </r>
  <r>
    <n v="1041"/>
    <d v="2023-01-08T00:00:00"/>
    <x v="0"/>
    <s v="David"/>
    <x v="3"/>
    <n v="1714.05"/>
    <n v="36"/>
    <x v="3"/>
    <n v="864.77"/>
    <n v="1170.1599999999901"/>
    <s v="Returning"/>
    <x v="16"/>
    <s v="Cash"/>
    <x v="1"/>
    <x v="12"/>
    <n v="37491.926399999684"/>
    <x v="24"/>
    <x v="0"/>
    <x v="24"/>
  </r>
  <r>
    <n v="1039"/>
    <d v="2023-01-08T00:00:00"/>
    <x v="0"/>
    <s v="Eve"/>
    <x v="1"/>
    <n v="3613.75"/>
    <n v="4"/>
    <x v="2"/>
    <n v="1054.1199999999999"/>
    <n v="1175.21999999999"/>
    <s v="Returning"/>
    <x v="7"/>
    <s v="Bank Transfer"/>
    <x v="1"/>
    <x v="2"/>
    <n v="4136.7743999999648"/>
    <x v="25"/>
    <x v="1"/>
    <x v="25"/>
  </r>
  <r>
    <n v="1067"/>
    <d v="2023-01-09T00:00:00"/>
    <x v="0"/>
    <s v="Charlie"/>
    <x v="0"/>
    <n v="1875.71"/>
    <n v="48"/>
    <x v="2"/>
    <n v="210.63"/>
    <n v="533.57999999999902"/>
    <s v="New"/>
    <x v="17"/>
    <s v="Bank Transfer"/>
    <x v="0"/>
    <x v="1"/>
    <n v="24587.366399999952"/>
    <x v="26"/>
    <x v="0"/>
    <x v="26"/>
  </r>
  <r>
    <n v="1057"/>
    <d v="2023-01-09T00:00:00"/>
    <x v="0"/>
    <s v="Charlie"/>
    <x v="0"/>
    <n v="2114.38"/>
    <n v="12"/>
    <x v="1"/>
    <n v="639.16"/>
    <n v="746.28"/>
    <s v="Returning"/>
    <x v="17"/>
    <s v="Bank Transfer"/>
    <x v="1"/>
    <x v="1"/>
    <n v="8597.1455999999998"/>
    <x v="27"/>
    <x v="0"/>
    <x v="27"/>
  </r>
  <r>
    <n v="1037"/>
    <d v="2023-01-09T00:00:00"/>
    <x v="0"/>
    <s v="Charlie"/>
    <x v="0"/>
    <n v="7750.81"/>
    <n v="41"/>
    <x v="0"/>
    <n v="4965.07"/>
    <n v="5243.13"/>
    <s v="New"/>
    <x v="18"/>
    <s v="Credit Card"/>
    <x v="0"/>
    <x v="1"/>
    <n v="212818.64669999998"/>
    <x v="28"/>
    <x v="0"/>
    <x v="28"/>
  </r>
  <r>
    <n v="1066"/>
    <d v="2023-01-09T00:00:00"/>
    <x v="0"/>
    <s v="Alice"/>
    <x v="0"/>
    <n v="6264.04"/>
    <n v="48"/>
    <x v="0"/>
    <n v="2588.54"/>
    <n v="2872.8"/>
    <s v="New"/>
    <x v="15"/>
    <s v="Cash"/>
    <x v="0"/>
    <x v="13"/>
    <n v="114452.352"/>
    <x v="29"/>
    <x v="1"/>
    <x v="29"/>
  </r>
  <r>
    <n v="1051"/>
    <d v="2023-01-09T00:00:00"/>
    <x v="0"/>
    <s v="David"/>
    <x v="1"/>
    <n v="5785.45"/>
    <n v="23"/>
    <x v="1"/>
    <n v="2598.1799999999998"/>
    <n v="3042.73"/>
    <s v="Returning"/>
    <x v="6"/>
    <s v="Credit Card"/>
    <x v="0"/>
    <x v="3"/>
    <n v="53186.920400000003"/>
    <x v="30"/>
    <x v="1"/>
    <x v="30"/>
  </r>
  <r>
    <n v="1054"/>
    <d v="2023-01-10T00:00:00"/>
    <x v="0"/>
    <s v="Eve"/>
    <x v="1"/>
    <n v="4634.16"/>
    <n v="40"/>
    <x v="1"/>
    <n v="2654.11"/>
    <n v="2929.32"/>
    <s v="Returning"/>
    <x v="19"/>
    <s v="Cash"/>
    <x v="0"/>
    <x v="2"/>
    <n v="107798.976"/>
    <x v="31"/>
    <x v="0"/>
    <x v="31"/>
  </r>
  <r>
    <n v="1094"/>
    <d v="2023-01-10T00:00:00"/>
    <x v="0"/>
    <s v="Eve"/>
    <x v="0"/>
    <n v="2548.67"/>
    <n v="25"/>
    <x v="2"/>
    <n v="1933.39"/>
    <n v="1982.92"/>
    <s v="New"/>
    <x v="15"/>
    <s v="Bank Transfer"/>
    <x v="0"/>
    <x v="0"/>
    <n v="41145.589999999997"/>
    <x v="32"/>
    <x v="1"/>
    <x v="32"/>
  </r>
  <r>
    <n v="1077"/>
    <d v="2023-01-11T00:00:00"/>
    <x v="0"/>
    <s v="Eve"/>
    <x v="0"/>
    <n v="9192.42"/>
    <n v="35"/>
    <x v="2"/>
    <n v="585.37"/>
    <n v="970.49"/>
    <s v="Returning"/>
    <x v="20"/>
    <s v="Bank Transfer"/>
    <x v="1"/>
    <x v="0"/>
    <n v="28872.077500000003"/>
    <x v="33"/>
    <x v="0"/>
    <x v="33"/>
  </r>
  <r>
    <n v="1044"/>
    <d v="2023-01-11T00:00:00"/>
    <x v="0"/>
    <s v="Eve"/>
    <x v="0"/>
    <n v="3594.29"/>
    <n v="5"/>
    <x v="3"/>
    <n v="4762.87"/>
    <n v="5050.46"/>
    <s v="New"/>
    <x v="2"/>
    <s v="Cash"/>
    <x v="1"/>
    <x v="0"/>
    <n v="18939.225000000002"/>
    <x v="34"/>
    <x v="1"/>
    <x v="34"/>
  </r>
  <r>
    <n v="1060"/>
    <d v="2023-01-11T00:00:00"/>
    <x v="0"/>
    <s v="Charlie"/>
    <x v="2"/>
    <n v="1016.99"/>
    <n v="34"/>
    <x v="2"/>
    <n v="4984.21"/>
    <n v="5184.6400000000003"/>
    <s v="New"/>
    <x v="15"/>
    <s v="Cash"/>
    <x v="0"/>
    <x v="14"/>
    <n v="146310.54079999999"/>
    <x v="35"/>
    <x v="1"/>
    <x v="35"/>
  </r>
  <r>
    <n v="1084"/>
    <d v="2023-01-11T00:00:00"/>
    <x v="0"/>
    <s v="Bob"/>
    <x v="3"/>
    <n v="8967.18"/>
    <n v="21"/>
    <x v="0"/>
    <n v="576.74"/>
    <n v="648.29"/>
    <s v="Returning"/>
    <x v="3"/>
    <s v="Bank Transfer"/>
    <x v="0"/>
    <x v="5"/>
    <n v="10891.271999999999"/>
    <x v="36"/>
    <x v="1"/>
    <x v="36"/>
  </r>
  <r>
    <n v="1088"/>
    <d v="2023-01-11T00:00:00"/>
    <x v="0"/>
    <s v="Alice"/>
    <x v="1"/>
    <n v="1758.16"/>
    <n v="11"/>
    <x v="3"/>
    <n v="3884.13"/>
    <n v="3915.41"/>
    <s v="Returning"/>
    <x v="21"/>
    <s v="Cash"/>
    <x v="0"/>
    <x v="15"/>
    <n v="42208.1198"/>
    <x v="37"/>
    <x v="1"/>
    <x v="37"/>
  </r>
  <r>
    <n v="1022"/>
    <d v="2023-01-12T00:00:00"/>
    <x v="0"/>
    <s v="Eve"/>
    <x v="3"/>
    <n v="2761.65"/>
    <n v="13"/>
    <x v="3"/>
    <n v="2312.4499999999998"/>
    <n v="2504.6"/>
    <s v="Returning"/>
    <x v="22"/>
    <s v="Bank Transfer"/>
    <x v="0"/>
    <x v="7"/>
    <n v="30606.211999999996"/>
    <x v="38"/>
    <x v="0"/>
    <x v="38"/>
  </r>
  <r>
    <n v="1078"/>
    <d v="2023-01-12T00:00:00"/>
    <x v="0"/>
    <s v="Eve"/>
    <x v="3"/>
    <n v="4481.2"/>
    <n v="36"/>
    <x v="3"/>
    <n v="4548.88"/>
    <n v="4853.41"/>
    <s v="Returning"/>
    <x v="2"/>
    <s v="Credit Card"/>
    <x v="1"/>
    <x v="7"/>
    <n v="131042.06999999999"/>
    <x v="39"/>
    <x v="1"/>
    <x v="39"/>
  </r>
  <r>
    <n v="1087"/>
    <d v="2023-01-12T00:00:00"/>
    <x v="0"/>
    <s v="Charlie"/>
    <x v="0"/>
    <n v="6701.79"/>
    <n v="21"/>
    <x v="3"/>
    <n v="3724.38"/>
    <n v="3988.7"/>
    <s v="New"/>
    <x v="11"/>
    <s v="Bank Transfer"/>
    <x v="1"/>
    <x v="1"/>
    <n v="81249.818999999989"/>
    <x v="40"/>
    <x v="0"/>
    <x v="40"/>
  </r>
  <r>
    <n v="1013"/>
    <d v="2023-01-12T00:00:00"/>
    <x v="0"/>
    <s v="Alice"/>
    <x v="2"/>
    <n v="7646.8"/>
    <n v="35"/>
    <x v="2"/>
    <n v="1312.71"/>
    <n v="1352.11"/>
    <s v="Returning"/>
    <x v="23"/>
    <s v="Bank Transfer"/>
    <x v="1"/>
    <x v="16"/>
    <n v="36912.603000000003"/>
    <x v="41"/>
    <x v="1"/>
    <x v="41"/>
  </r>
  <r>
    <n v="1045"/>
    <d v="2023-01-12T00:00:00"/>
    <x v="0"/>
    <s v="Charlie"/>
    <x v="1"/>
    <n v="9613.11"/>
    <n v="35"/>
    <x v="1"/>
    <n v="3777.94"/>
    <n v="4188.66"/>
    <s v="New"/>
    <x v="15"/>
    <s v="Bank Transfer"/>
    <x v="0"/>
    <x v="17"/>
    <n v="121680.57299999999"/>
    <x v="42"/>
    <x v="1"/>
    <x v="42"/>
  </r>
  <r>
    <n v="1094"/>
    <d v="2023-01-12T00:00:00"/>
    <x v="0"/>
    <s v="Eve"/>
    <x v="2"/>
    <n v="5835.21"/>
    <n v="38"/>
    <x v="3"/>
    <n v="3443.98"/>
    <n v="3820.3"/>
    <s v="Returning"/>
    <x v="18"/>
    <s v="Credit Card"/>
    <x v="1"/>
    <x v="11"/>
    <n v="143719.68600000002"/>
    <x v="43"/>
    <x v="0"/>
    <x v="43"/>
  </r>
  <r>
    <n v="1048"/>
    <d v="2023-01-12T00:00:00"/>
    <x v="0"/>
    <s v="Charlie"/>
    <x v="3"/>
    <n v="6482.98"/>
    <n v="47"/>
    <x v="0"/>
    <n v="702.44"/>
    <n v="1067.6600000000001"/>
    <s v="New"/>
    <x v="6"/>
    <s v="Cash"/>
    <x v="1"/>
    <x v="6"/>
    <n v="38136.815200000005"/>
    <x v="44"/>
    <x v="0"/>
    <x v="44"/>
  </r>
  <r>
    <n v="1090"/>
    <d v="2023-01-13T00:00:00"/>
    <x v="0"/>
    <s v="Alice"/>
    <x v="3"/>
    <n v="2359.5300000000002"/>
    <n v="17"/>
    <x v="0"/>
    <n v="2382.98"/>
    <n v="2839.73"/>
    <s v="Returning"/>
    <x v="24"/>
    <s v="Bank Transfer"/>
    <x v="1"/>
    <x v="9"/>
    <n v="37172.065699999999"/>
    <x v="45"/>
    <x v="1"/>
    <x v="45"/>
  </r>
  <r>
    <n v="1012"/>
    <d v="2023-01-13T00:00:00"/>
    <x v="0"/>
    <s v="Alice"/>
    <x v="3"/>
    <n v="8892.3700000000008"/>
    <n v="39"/>
    <x v="1"/>
    <n v="3126.52"/>
    <n v="3465.79"/>
    <s v="New"/>
    <x v="19"/>
    <s v="Cash"/>
    <x v="0"/>
    <x v="9"/>
    <n v="124352.54520000001"/>
    <x v="46"/>
    <x v="0"/>
    <x v="46"/>
  </r>
  <r>
    <n v="1033"/>
    <d v="2023-01-14T00:00:00"/>
    <x v="0"/>
    <s v="Alice"/>
    <x v="2"/>
    <n v="1740.92"/>
    <n v="24"/>
    <x v="0"/>
    <n v="1345.67"/>
    <n v="1367.76"/>
    <s v="New"/>
    <x v="22"/>
    <s v="Bank Transfer"/>
    <x v="0"/>
    <x v="16"/>
    <n v="30856.665599999997"/>
    <x v="47"/>
    <x v="1"/>
    <x v="47"/>
  </r>
  <r>
    <n v="1058"/>
    <d v="2023-01-14T00:00:00"/>
    <x v="0"/>
    <s v="Bob"/>
    <x v="3"/>
    <n v="5235.1400000000003"/>
    <n v="6"/>
    <x v="3"/>
    <n v="4987.71"/>
    <n v="4998.78"/>
    <s v="Returning"/>
    <x v="15"/>
    <s v="Cash"/>
    <x v="1"/>
    <x v="5"/>
    <n v="24893.9244"/>
    <x v="48"/>
    <x v="1"/>
    <x v="48"/>
  </r>
  <r>
    <n v="1024"/>
    <d v="2023-01-14T00:00:00"/>
    <x v="0"/>
    <s v="Bob"/>
    <x v="1"/>
    <n v="3334.75"/>
    <n v="45"/>
    <x v="0"/>
    <n v="2693.99"/>
    <n v="3045.9399999999901"/>
    <s v="New"/>
    <x v="18"/>
    <s v="Cash"/>
    <x v="1"/>
    <x v="8"/>
    <n v="135696.62699999957"/>
    <x v="49"/>
    <x v="0"/>
    <x v="49"/>
  </r>
  <r>
    <n v="1056"/>
    <d v="2023-01-14T00:00:00"/>
    <x v="0"/>
    <s v="Charlie"/>
    <x v="2"/>
    <n v="5720.5"/>
    <n v="25"/>
    <x v="3"/>
    <n v="2361.7399999999998"/>
    <n v="2584.35"/>
    <s v="Returning"/>
    <x v="3"/>
    <s v="Cash"/>
    <x v="0"/>
    <x v="14"/>
    <n v="51687"/>
    <x v="50"/>
    <x v="1"/>
    <x v="50"/>
  </r>
  <r>
    <n v="1027"/>
    <d v="2023-01-15T00:00:00"/>
    <x v="0"/>
    <s v="Bob"/>
    <x v="2"/>
    <n v="6261.2"/>
    <n v="26"/>
    <x v="3"/>
    <n v="149.11000000000001"/>
    <n v="477.67"/>
    <s v="Returning"/>
    <x v="1"/>
    <s v="Cash"/>
    <x v="1"/>
    <x v="18"/>
    <n v="10680.7012"/>
    <x v="51"/>
    <x v="0"/>
    <x v="51"/>
  </r>
  <r>
    <n v="1042"/>
    <d v="2023-01-15T00:00:00"/>
    <x v="0"/>
    <s v="David"/>
    <x v="1"/>
    <n v="2298.5500000000002"/>
    <n v="46"/>
    <x v="1"/>
    <n v="2172.38"/>
    <n v="2367.11"/>
    <s v="New"/>
    <x v="25"/>
    <s v="Cash"/>
    <x v="1"/>
    <x v="3"/>
    <n v="91465.130399999995"/>
    <x v="52"/>
    <x v="1"/>
    <x v="52"/>
  </r>
  <r>
    <n v="1040"/>
    <d v="2023-01-15T00:00:00"/>
    <x v="0"/>
    <s v="Charlie"/>
    <x v="0"/>
    <n v="8601.77"/>
    <n v="19"/>
    <x v="1"/>
    <n v="342.3"/>
    <n v="768.06"/>
    <s v="Returning"/>
    <x v="26"/>
    <s v="Credit Card"/>
    <x v="0"/>
    <x v="1"/>
    <n v="13279.757399999999"/>
    <x v="53"/>
    <x v="0"/>
    <x v="53"/>
  </r>
  <r>
    <n v="1017"/>
    <d v="2023-01-15T00:00:00"/>
    <x v="0"/>
    <s v="Eve"/>
    <x v="0"/>
    <n v="289.52999999999997"/>
    <n v="6"/>
    <x v="1"/>
    <n v="2594.42"/>
    <n v="3081.04"/>
    <s v="Returning"/>
    <x v="8"/>
    <s v="Bank Transfer"/>
    <x v="1"/>
    <x v="0"/>
    <n v="16637.616000000002"/>
    <x v="54"/>
    <x v="0"/>
    <x v="54"/>
  </r>
  <r>
    <n v="1094"/>
    <d v="2023-01-15T00:00:00"/>
    <x v="0"/>
    <s v="Bob"/>
    <x v="0"/>
    <n v="8872.33"/>
    <n v="45"/>
    <x v="1"/>
    <n v="4470.91"/>
    <n v="4695.54"/>
    <s v="Returning"/>
    <x v="22"/>
    <s v="Cash"/>
    <x v="1"/>
    <x v="10"/>
    <n v="198621.342"/>
    <x v="55"/>
    <x v="1"/>
    <x v="55"/>
  </r>
  <r>
    <n v="1034"/>
    <d v="2023-01-16T00:00:00"/>
    <x v="0"/>
    <s v="Alice"/>
    <x v="0"/>
    <n v="1937.9"/>
    <n v="13"/>
    <x v="1"/>
    <n v="366.31"/>
    <n v="492.68"/>
    <s v="New"/>
    <x v="7"/>
    <s v="Credit Card"/>
    <x v="1"/>
    <x v="13"/>
    <n v="5636.2592000000004"/>
    <x v="56"/>
    <x v="0"/>
    <x v="56"/>
  </r>
  <r>
    <n v="1013"/>
    <d v="2023-01-16T00:00:00"/>
    <x v="0"/>
    <s v="Eve"/>
    <x v="3"/>
    <n v="6769.09"/>
    <n v="20"/>
    <x v="0"/>
    <n v="3356.62"/>
    <n v="3759.0099999999902"/>
    <s v="Returning"/>
    <x v="0"/>
    <s v="Credit Card"/>
    <x v="1"/>
    <x v="7"/>
    <n v="71421.189999999813"/>
    <x v="57"/>
    <x v="0"/>
    <x v="57"/>
  </r>
  <r>
    <n v="1080"/>
    <d v="2023-01-17T00:00:00"/>
    <x v="0"/>
    <s v="Bob"/>
    <x v="1"/>
    <n v="4224"/>
    <n v="47"/>
    <x v="1"/>
    <n v="4035.33"/>
    <n v="4211.25"/>
    <s v="Returning"/>
    <x v="9"/>
    <s v="Bank Transfer"/>
    <x v="0"/>
    <x v="8"/>
    <n v="184073.73749999999"/>
    <x v="58"/>
    <x v="1"/>
    <x v="58"/>
  </r>
  <r>
    <n v="1060"/>
    <d v="2023-01-17T00:00:00"/>
    <x v="0"/>
    <s v="Bob"/>
    <x v="1"/>
    <n v="2747.28"/>
    <n v="3"/>
    <x v="2"/>
    <n v="1190.4100000000001"/>
    <n v="1582.89"/>
    <s v="New"/>
    <x v="21"/>
    <s v="Credit Card"/>
    <x v="1"/>
    <x v="8"/>
    <n v="4653.6966000000002"/>
    <x v="59"/>
    <x v="0"/>
    <x v="59"/>
  </r>
  <r>
    <n v="1009"/>
    <d v="2023-01-17T00:00:00"/>
    <x v="0"/>
    <s v="David"/>
    <x v="2"/>
    <n v="8401.07"/>
    <n v="12"/>
    <x v="1"/>
    <n v="2278.67"/>
    <n v="2476.8000000000002"/>
    <s v="New"/>
    <x v="26"/>
    <s v="Cash"/>
    <x v="1"/>
    <x v="4"/>
    <n v="27046.656000000003"/>
    <x v="60"/>
    <x v="1"/>
    <x v="60"/>
  </r>
  <r>
    <n v="1016"/>
    <d v="2023-01-17T00:00:00"/>
    <x v="0"/>
    <s v="Eve"/>
    <x v="2"/>
    <n v="4598.0200000000004"/>
    <n v="21"/>
    <x v="2"/>
    <n v="2863.74"/>
    <n v="2953.91"/>
    <s v="New"/>
    <x v="8"/>
    <s v="Bank Transfer"/>
    <x v="1"/>
    <x v="11"/>
    <n v="55828.898999999998"/>
    <x v="61"/>
    <x v="1"/>
    <x v="61"/>
  </r>
  <r>
    <n v="1076"/>
    <d v="2023-01-17T00:00:00"/>
    <x v="0"/>
    <s v="Charlie"/>
    <x v="1"/>
    <n v="8464.23"/>
    <n v="16"/>
    <x v="0"/>
    <n v="1964.15"/>
    <n v="2211.17"/>
    <s v="Returning"/>
    <x v="5"/>
    <s v="Bank Transfer"/>
    <x v="0"/>
    <x v="17"/>
    <n v="27949.188800000004"/>
    <x v="62"/>
    <x v="1"/>
    <x v="62"/>
  </r>
  <r>
    <n v="1029"/>
    <d v="2023-01-17T00:00:00"/>
    <x v="0"/>
    <s v="Charlie"/>
    <x v="0"/>
    <n v="6275.06"/>
    <n v="31"/>
    <x v="2"/>
    <n v="2719"/>
    <n v="3133.55"/>
    <s v="Returning"/>
    <x v="15"/>
    <s v="Bank Transfer"/>
    <x v="1"/>
    <x v="1"/>
    <n v="80626.241500000004"/>
    <x v="63"/>
    <x v="1"/>
    <x v="63"/>
  </r>
  <r>
    <n v="1080"/>
    <d v="2023-01-18T00:00:00"/>
    <x v="0"/>
    <s v="Charlie"/>
    <x v="3"/>
    <n v="5138.0200000000004"/>
    <n v="44"/>
    <x v="2"/>
    <n v="1763.67"/>
    <n v="1983.82"/>
    <s v="New"/>
    <x v="6"/>
    <s v="Credit Card"/>
    <x v="0"/>
    <x v="6"/>
    <n v="66338.940799999997"/>
    <x v="64"/>
    <x v="1"/>
    <x v="64"/>
  </r>
  <r>
    <n v="1048"/>
    <d v="2023-01-19T00:00:00"/>
    <x v="0"/>
    <s v="Bob"/>
    <x v="2"/>
    <n v="5187.16"/>
    <n v="7"/>
    <x v="0"/>
    <n v="4310.95"/>
    <n v="4723.2"/>
    <s v="Returning"/>
    <x v="0"/>
    <s v="Credit Card"/>
    <x v="1"/>
    <x v="18"/>
    <n v="31409.279999999999"/>
    <x v="65"/>
    <x v="0"/>
    <x v="65"/>
  </r>
  <r>
    <n v="1092"/>
    <d v="2023-01-20T00:00:00"/>
    <x v="0"/>
    <s v="Charlie"/>
    <x v="3"/>
    <n v="2729.27"/>
    <n v="40"/>
    <x v="2"/>
    <n v="4624.16"/>
    <n v="4731.9799999999996"/>
    <s v="New"/>
    <x v="3"/>
    <s v="Bank Transfer"/>
    <x v="1"/>
    <x v="6"/>
    <n v="151423.35999999999"/>
    <x v="66"/>
    <x v="1"/>
    <x v="66"/>
  </r>
  <r>
    <n v="1046"/>
    <d v="2023-01-20T00:00:00"/>
    <x v="0"/>
    <s v="Eve"/>
    <x v="3"/>
    <n v="4104.82"/>
    <n v="43"/>
    <x v="0"/>
    <n v="4052.42"/>
    <n v="4199.3"/>
    <s v="New"/>
    <x v="8"/>
    <s v="Bank Transfer"/>
    <x v="1"/>
    <x v="7"/>
    <n v="162512.91"/>
    <x v="67"/>
    <x v="1"/>
    <x v="67"/>
  </r>
  <r>
    <n v="1053"/>
    <d v="2023-01-20T00:00:00"/>
    <x v="0"/>
    <s v="David"/>
    <x v="2"/>
    <n v="8785.77"/>
    <n v="42"/>
    <x v="1"/>
    <n v="2443.5700000000002"/>
    <n v="2943.31"/>
    <s v="New"/>
    <x v="14"/>
    <s v="Cash"/>
    <x v="0"/>
    <x v="4"/>
    <n v="87769.504199999996"/>
    <x v="68"/>
    <x v="1"/>
    <x v="68"/>
  </r>
  <r>
    <n v="1017"/>
    <d v="2023-01-20T00:00:00"/>
    <x v="0"/>
    <s v="Bob"/>
    <x v="3"/>
    <n v="496.59"/>
    <n v="29"/>
    <x v="0"/>
    <n v="3410.49"/>
    <n v="3481.72"/>
    <s v="New"/>
    <x v="6"/>
    <s v="Bank Transfer"/>
    <x v="1"/>
    <x v="5"/>
    <n v="76737.108800000002"/>
    <x v="69"/>
    <x v="1"/>
    <x v="69"/>
  </r>
  <r>
    <n v="1003"/>
    <d v="2023-01-21T00:00:00"/>
    <x v="0"/>
    <s v="Charlie"/>
    <x v="0"/>
    <n v="6395.81"/>
    <n v="3"/>
    <x v="1"/>
    <n v="1792.05"/>
    <n v="2091.23"/>
    <s v="Returning"/>
    <x v="26"/>
    <s v="Cash"/>
    <x v="1"/>
    <x v="1"/>
    <n v="5709.0579000000007"/>
    <x v="70"/>
    <x v="0"/>
    <x v="70"/>
  </r>
  <r>
    <n v="1035"/>
    <d v="2023-01-22T00:00:00"/>
    <x v="0"/>
    <s v="Alice"/>
    <x v="0"/>
    <n v="8387.48"/>
    <n v="28"/>
    <x v="1"/>
    <n v="3771.38"/>
    <n v="4234.92"/>
    <s v="New"/>
    <x v="27"/>
    <s v="Credit Card"/>
    <x v="1"/>
    <x v="13"/>
    <n v="85375.987199999989"/>
    <x v="71"/>
    <x v="1"/>
    <x v="71"/>
  </r>
  <r>
    <n v="1006"/>
    <d v="2023-01-22T00:00:00"/>
    <x v="0"/>
    <s v="Alice"/>
    <x v="1"/>
    <n v="5053.5600000000004"/>
    <n v="29"/>
    <x v="2"/>
    <n v="4353.29"/>
    <n v="4405.8"/>
    <s v="New"/>
    <x v="17"/>
    <s v="Bank Transfer"/>
    <x v="0"/>
    <x v="15"/>
    <n v="122657.47200000001"/>
    <x v="72"/>
    <x v="1"/>
    <x v="72"/>
  </r>
  <r>
    <n v="1045"/>
    <d v="2023-01-22T00:00:00"/>
    <x v="0"/>
    <s v="Bob"/>
    <x v="3"/>
    <n v="4594.5"/>
    <n v="46"/>
    <x v="3"/>
    <n v="2577.08"/>
    <n v="2961.56"/>
    <s v="Returning"/>
    <x v="8"/>
    <s v="Cash"/>
    <x v="0"/>
    <x v="5"/>
    <n v="122608.584"/>
    <x v="73"/>
    <x v="0"/>
    <x v="73"/>
  </r>
  <r>
    <n v="1037"/>
    <d v="2023-01-23T00:00:00"/>
    <x v="0"/>
    <s v="Bob"/>
    <x v="0"/>
    <n v="9813.81"/>
    <n v="40"/>
    <x v="0"/>
    <n v="2790.11"/>
    <n v="3192.37"/>
    <s v="Returning"/>
    <x v="12"/>
    <s v="Bank Transfer"/>
    <x v="0"/>
    <x v="10"/>
    <n v="94494.152000000002"/>
    <x v="74"/>
    <x v="1"/>
    <x v="74"/>
  </r>
  <r>
    <n v="1037"/>
    <d v="2023-01-23T00:00:00"/>
    <x v="0"/>
    <s v="Charlie"/>
    <x v="3"/>
    <n v="3649.93"/>
    <n v="25"/>
    <x v="3"/>
    <n v="1074.6199999999999"/>
    <n v="1382.4299999999901"/>
    <s v="Returning"/>
    <x v="6"/>
    <s v="Credit Card"/>
    <x v="1"/>
    <x v="6"/>
    <n v="26266.169999999813"/>
    <x v="75"/>
    <x v="1"/>
    <x v="75"/>
  </r>
  <r>
    <n v="1018"/>
    <d v="2023-01-23T00:00:00"/>
    <x v="0"/>
    <s v="David"/>
    <x v="0"/>
    <n v="7019.59"/>
    <n v="20"/>
    <x v="1"/>
    <n v="1140.6199999999999"/>
    <n v="1258.6299999999901"/>
    <s v="Returning"/>
    <x v="12"/>
    <s v="Bank Transfer"/>
    <x v="0"/>
    <x v="19"/>
    <n v="18627.723999999853"/>
    <x v="76"/>
    <x v="1"/>
    <x v="76"/>
  </r>
  <r>
    <n v="1054"/>
    <d v="2023-01-24T00:00:00"/>
    <x v="0"/>
    <s v="Bob"/>
    <x v="3"/>
    <n v="6624.55"/>
    <n v="22"/>
    <x v="2"/>
    <n v="4200.08"/>
    <n v="4647.28"/>
    <s v="Returning"/>
    <x v="16"/>
    <s v="Cash"/>
    <x v="0"/>
    <x v="5"/>
    <n v="90993.742400000003"/>
    <x v="77"/>
    <x v="1"/>
    <x v="77"/>
  </r>
  <r>
    <n v="1017"/>
    <d v="2023-01-24T00:00:00"/>
    <x v="0"/>
    <s v="Eve"/>
    <x v="0"/>
    <n v="4637.3999999999996"/>
    <n v="27"/>
    <x v="2"/>
    <n v="927.89"/>
    <n v="1399.09"/>
    <s v="Returning"/>
    <x v="10"/>
    <s v="Credit Card"/>
    <x v="0"/>
    <x v="0"/>
    <n v="27576.063899999997"/>
    <x v="78"/>
    <x v="0"/>
    <x v="78"/>
  </r>
  <r>
    <n v="1011"/>
    <d v="2023-01-25T00:00:00"/>
    <x v="0"/>
    <s v="Eve"/>
    <x v="0"/>
    <n v="2896.48"/>
    <n v="22"/>
    <x v="2"/>
    <n v="1324.52"/>
    <n v="1510.3"/>
    <s v="Returning"/>
    <x v="20"/>
    <s v="Cash"/>
    <x v="1"/>
    <x v="0"/>
    <n v="28242.609999999997"/>
    <x v="79"/>
    <x v="1"/>
    <x v="79"/>
  </r>
  <r>
    <n v="1090"/>
    <d v="2023-01-25T00:00:00"/>
    <x v="0"/>
    <s v="Charlie"/>
    <x v="1"/>
    <n v="2381.12"/>
    <n v="17"/>
    <x v="0"/>
    <n v="4190.26"/>
    <n v="4645.3500000000004"/>
    <s v="New"/>
    <x v="7"/>
    <s v="Credit Card"/>
    <x v="1"/>
    <x v="17"/>
    <n v="69494.436000000002"/>
    <x v="80"/>
    <x v="1"/>
    <x v="80"/>
  </r>
  <r>
    <n v="1096"/>
    <d v="2023-01-25T00:00:00"/>
    <x v="0"/>
    <s v="Charlie"/>
    <x v="2"/>
    <n v="6206.16"/>
    <n v="27"/>
    <x v="0"/>
    <n v="4809"/>
    <n v="4967.4399999999996"/>
    <s v="New"/>
    <x v="7"/>
    <s v="Cash"/>
    <x v="0"/>
    <x v="14"/>
    <n v="118026.37439999999"/>
    <x v="81"/>
    <x v="1"/>
    <x v="81"/>
  </r>
  <r>
    <n v="1048"/>
    <d v="2023-01-25T00:00:00"/>
    <x v="0"/>
    <s v="Eve"/>
    <x v="1"/>
    <n v="4961.8500000000004"/>
    <n v="7"/>
    <x v="2"/>
    <n v="1655.43"/>
    <n v="2001.08"/>
    <s v="New"/>
    <x v="28"/>
    <s v="Bank Transfer"/>
    <x v="0"/>
    <x v="2"/>
    <n v="11346.123600000001"/>
    <x v="82"/>
    <x v="1"/>
    <x v="82"/>
  </r>
  <r>
    <n v="1083"/>
    <d v="2023-01-25T00:00:00"/>
    <x v="0"/>
    <s v="David"/>
    <x v="3"/>
    <n v="757.99"/>
    <n v="34"/>
    <x v="0"/>
    <n v="1167.9100000000001"/>
    <n v="1547.26"/>
    <s v="New"/>
    <x v="16"/>
    <s v="Bank Transfer"/>
    <x v="0"/>
    <x v="12"/>
    <n v="46820.087599999999"/>
    <x v="83"/>
    <x v="0"/>
    <x v="83"/>
  </r>
  <r>
    <n v="1061"/>
    <d v="2023-01-25T00:00:00"/>
    <x v="0"/>
    <s v="Bob"/>
    <x v="3"/>
    <n v="2375.2800000000002"/>
    <n v="38"/>
    <x v="1"/>
    <n v="4440.8599999999997"/>
    <n v="4506.8099999999904"/>
    <s v="Returning"/>
    <x v="6"/>
    <s v="Bank Transfer"/>
    <x v="0"/>
    <x v="5"/>
    <n v="130156.67279999972"/>
    <x v="84"/>
    <x v="1"/>
    <x v="84"/>
  </r>
  <r>
    <n v="1018"/>
    <d v="2023-01-26T00:00:00"/>
    <x v="0"/>
    <s v="Alice"/>
    <x v="3"/>
    <n v="3187.45"/>
    <n v="11"/>
    <x v="0"/>
    <n v="2414.8200000000002"/>
    <n v="2519.0700000000002"/>
    <s v="Returning"/>
    <x v="4"/>
    <s v="Cash"/>
    <x v="0"/>
    <x v="9"/>
    <n v="27709.77"/>
    <x v="85"/>
    <x v="0"/>
    <x v="85"/>
  </r>
  <r>
    <n v="1023"/>
    <d v="2023-01-26T00:00:00"/>
    <x v="0"/>
    <s v="David"/>
    <x v="0"/>
    <n v="2676.34"/>
    <n v="36"/>
    <x v="0"/>
    <n v="1991.72"/>
    <n v="2329.37"/>
    <s v="New"/>
    <x v="27"/>
    <s v="Credit Card"/>
    <x v="1"/>
    <x v="19"/>
    <n v="60377.270399999994"/>
    <x v="86"/>
    <x v="1"/>
    <x v="86"/>
  </r>
  <r>
    <n v="1026"/>
    <d v="2023-01-26T00:00:00"/>
    <x v="0"/>
    <s v="David"/>
    <x v="3"/>
    <n v="2195.1999999999998"/>
    <n v="5"/>
    <x v="3"/>
    <n v="4093.61"/>
    <n v="4117.88"/>
    <s v="Returning"/>
    <x v="7"/>
    <s v="Credit Card"/>
    <x v="1"/>
    <x v="12"/>
    <n v="18118.672000000002"/>
    <x v="87"/>
    <x v="1"/>
    <x v="87"/>
  </r>
  <r>
    <n v="1016"/>
    <d v="2023-01-27T00:00:00"/>
    <x v="0"/>
    <s v="Eve"/>
    <x v="0"/>
    <n v="2783.85"/>
    <n v="41"/>
    <x v="3"/>
    <n v="3386.49"/>
    <n v="3430.99"/>
    <s v="New"/>
    <x v="5"/>
    <s v="Bank Transfer"/>
    <x v="1"/>
    <x v="0"/>
    <n v="111129.76610000001"/>
    <x v="88"/>
    <x v="1"/>
    <x v="88"/>
  </r>
  <r>
    <n v="1092"/>
    <d v="2023-01-27T00:00:00"/>
    <x v="0"/>
    <s v="David"/>
    <x v="2"/>
    <n v="6939.75"/>
    <n v="26"/>
    <x v="1"/>
    <n v="3697.29"/>
    <n v="4003.96"/>
    <s v="New"/>
    <x v="6"/>
    <s v="Cash"/>
    <x v="0"/>
    <x v="4"/>
    <n v="79118.249599999996"/>
    <x v="89"/>
    <x v="1"/>
    <x v="89"/>
  </r>
  <r>
    <n v="1065"/>
    <d v="2023-01-27T00:00:00"/>
    <x v="0"/>
    <s v="Bob"/>
    <x v="1"/>
    <n v="1621.54"/>
    <n v="12"/>
    <x v="2"/>
    <n v="2035.68"/>
    <n v="2079.64"/>
    <s v="Returning"/>
    <x v="17"/>
    <s v="Cash"/>
    <x v="0"/>
    <x v="8"/>
    <n v="23957.452799999999"/>
    <x v="90"/>
    <x v="1"/>
    <x v="90"/>
  </r>
  <r>
    <n v="1034"/>
    <d v="2023-01-27T00:00:00"/>
    <x v="0"/>
    <s v="Bob"/>
    <x v="3"/>
    <n v="414.26"/>
    <n v="38"/>
    <x v="3"/>
    <n v="2729.75"/>
    <n v="3081.5"/>
    <s v="New"/>
    <x v="18"/>
    <s v="Bank Transfer"/>
    <x v="0"/>
    <x v="5"/>
    <n v="115926.03"/>
    <x v="91"/>
    <x v="0"/>
    <x v="91"/>
  </r>
  <r>
    <n v="1092"/>
    <d v="2023-01-29T00:00:00"/>
    <x v="0"/>
    <s v="Bob"/>
    <x v="1"/>
    <n v="8936.33"/>
    <n v="13"/>
    <x v="0"/>
    <n v="2684.5"/>
    <n v="2913.78"/>
    <s v="New"/>
    <x v="19"/>
    <s v="Credit Card"/>
    <x v="1"/>
    <x v="8"/>
    <n v="34848.808800000006"/>
    <x v="92"/>
    <x v="1"/>
    <x v="92"/>
  </r>
  <r>
    <n v="1017"/>
    <d v="2023-01-29T00:00:00"/>
    <x v="0"/>
    <s v="Charlie"/>
    <x v="1"/>
    <n v="4882.09"/>
    <n v="19"/>
    <x v="2"/>
    <n v="1233.1199999999999"/>
    <n v="1697.1899999999901"/>
    <s v="New"/>
    <x v="8"/>
    <s v="Credit Card"/>
    <x v="0"/>
    <x v="17"/>
    <n v="29021.948999999833"/>
    <x v="93"/>
    <x v="0"/>
    <x v="93"/>
  </r>
  <r>
    <n v="1042"/>
    <d v="2023-01-29T00:00:00"/>
    <x v="0"/>
    <s v="Eve"/>
    <x v="0"/>
    <n v="9772.3700000000008"/>
    <n v="25"/>
    <x v="3"/>
    <n v="2403.54"/>
    <n v="2850.56"/>
    <s v="New"/>
    <x v="29"/>
    <s v="Bank Transfer"/>
    <x v="0"/>
    <x v="0"/>
    <n v="61999.68"/>
    <x v="94"/>
    <x v="0"/>
    <x v="94"/>
  </r>
  <r>
    <n v="1007"/>
    <d v="2023-01-29T00:00:00"/>
    <x v="0"/>
    <s v="Charlie"/>
    <x v="2"/>
    <n v="2491.21"/>
    <n v="13"/>
    <x v="1"/>
    <n v="3765.46"/>
    <n v="3860.56"/>
    <s v="Returning"/>
    <x v="23"/>
    <s v="Cash"/>
    <x v="1"/>
    <x v="14"/>
    <n v="39146.078399999999"/>
    <x v="95"/>
    <x v="1"/>
    <x v="95"/>
  </r>
  <r>
    <n v="1009"/>
    <d v="2023-01-29T00:00:00"/>
    <x v="0"/>
    <s v="Eve"/>
    <x v="2"/>
    <n v="182.8"/>
    <n v="16"/>
    <x v="0"/>
    <n v="3745.69"/>
    <n v="3883.77"/>
    <s v="Returning"/>
    <x v="30"/>
    <s v="Bank Transfer"/>
    <x v="1"/>
    <x v="11"/>
    <n v="50955.062400000003"/>
    <x v="96"/>
    <x v="1"/>
    <x v="96"/>
  </r>
  <r>
    <n v="1018"/>
    <d v="2023-01-29T00:00:00"/>
    <x v="0"/>
    <s v="David"/>
    <x v="2"/>
    <n v="6008.83"/>
    <n v="25"/>
    <x v="3"/>
    <n v="4660.82"/>
    <n v="5011.4299999999903"/>
    <s v="New"/>
    <x v="9"/>
    <s v="Bank Transfer"/>
    <x v="0"/>
    <x v="4"/>
    <n v="116515.74749999976"/>
    <x v="97"/>
    <x v="1"/>
    <x v="97"/>
  </r>
  <r>
    <n v="1042"/>
    <d v="2023-01-31T00:00:00"/>
    <x v="0"/>
    <s v="Alice"/>
    <x v="0"/>
    <n v="5207.03"/>
    <n v="11"/>
    <x v="3"/>
    <n v="635.20000000000005"/>
    <n v="814.14"/>
    <s v="Returning"/>
    <x v="21"/>
    <s v="Cash"/>
    <x v="0"/>
    <x v="13"/>
    <n v="8776.4291999999987"/>
    <x v="98"/>
    <x v="0"/>
    <x v="98"/>
  </r>
  <r>
    <n v="1057"/>
    <d v="2023-01-31T00:00:00"/>
    <x v="0"/>
    <s v="Charlie"/>
    <x v="0"/>
    <n v="975.01"/>
    <n v="36"/>
    <x v="3"/>
    <n v="4995.3"/>
    <n v="5165.09"/>
    <s v="Returning"/>
    <x v="6"/>
    <s v="Cash"/>
    <x v="0"/>
    <x v="1"/>
    <n v="141316.86240000001"/>
    <x v="99"/>
    <x v="1"/>
    <x v="99"/>
  </r>
  <r>
    <n v="1069"/>
    <d v="2023-02-01T00:00:00"/>
    <x v="1"/>
    <s v="Eve"/>
    <x v="0"/>
    <n v="2726.73"/>
    <n v="18"/>
    <x v="1"/>
    <n v="2760.21"/>
    <n v="3219.58"/>
    <s v="New"/>
    <x v="10"/>
    <s v="Bank Transfer"/>
    <x v="1"/>
    <x v="0"/>
    <n v="42305.281199999998"/>
    <x v="100"/>
    <x v="1"/>
    <x v="100"/>
  </r>
  <r>
    <n v="1097"/>
    <d v="2023-02-01T00:00:00"/>
    <x v="1"/>
    <s v="Alice"/>
    <x v="2"/>
    <n v="1099.68"/>
    <n v="27"/>
    <x v="2"/>
    <n v="3955.19"/>
    <n v="4393.68"/>
    <s v="Returning"/>
    <x v="17"/>
    <s v="Credit Card"/>
    <x v="0"/>
    <x v="16"/>
    <n v="113884.18560000001"/>
    <x v="101"/>
    <x v="0"/>
    <x v="101"/>
  </r>
  <r>
    <n v="1096"/>
    <d v="2023-02-02T00:00:00"/>
    <x v="1"/>
    <s v="Alice"/>
    <x v="3"/>
    <n v="9289"/>
    <n v="31"/>
    <x v="2"/>
    <n v="1724.24"/>
    <n v="2036.2"/>
    <s v="New"/>
    <x v="15"/>
    <s v="Cash"/>
    <x v="0"/>
    <x v="9"/>
    <n v="52391.425999999999"/>
    <x v="102"/>
    <x v="1"/>
    <x v="102"/>
  </r>
  <r>
    <n v="1052"/>
    <d v="2023-02-03T00:00:00"/>
    <x v="1"/>
    <s v="Bob"/>
    <x v="0"/>
    <n v="5053.97"/>
    <n v="18"/>
    <x v="1"/>
    <n v="152.75"/>
    <n v="267.22000000000003"/>
    <s v="Returning"/>
    <x v="26"/>
    <s v="Cash"/>
    <x v="0"/>
    <x v="10"/>
    <n v="4377.0636000000004"/>
    <x v="103"/>
    <x v="0"/>
    <x v="103"/>
  </r>
  <r>
    <n v="1013"/>
    <d v="2023-02-03T00:00:00"/>
    <x v="1"/>
    <s v="Bob"/>
    <x v="0"/>
    <n v="6520.2"/>
    <n v="42"/>
    <x v="0"/>
    <n v="4625.33"/>
    <n v="4642.83"/>
    <s v="New"/>
    <x v="28"/>
    <s v="Credit Card"/>
    <x v="0"/>
    <x v="10"/>
    <n v="157949.0766"/>
    <x v="104"/>
    <x v="1"/>
    <x v="104"/>
  </r>
  <r>
    <n v="1035"/>
    <d v="2023-02-03T00:00:00"/>
    <x v="1"/>
    <s v="Charlie"/>
    <x v="0"/>
    <n v="1736.32"/>
    <n v="5"/>
    <x v="3"/>
    <n v="4483.8500000000004"/>
    <n v="4795.42"/>
    <s v="Returning"/>
    <x v="24"/>
    <s v="Cash"/>
    <x v="0"/>
    <x v="1"/>
    <n v="18462.367000000002"/>
    <x v="105"/>
    <x v="1"/>
    <x v="105"/>
  </r>
  <r>
    <n v="1026"/>
    <d v="2023-02-04T00:00:00"/>
    <x v="1"/>
    <s v="Alice"/>
    <x v="2"/>
    <n v="1554.93"/>
    <n v="19"/>
    <x v="2"/>
    <n v="1265.48"/>
    <n v="1715.83"/>
    <s v="New"/>
    <x v="0"/>
    <s v="Credit Card"/>
    <x v="1"/>
    <x v="16"/>
    <n v="30970.731499999998"/>
    <x v="106"/>
    <x v="0"/>
    <x v="106"/>
  </r>
  <r>
    <n v="1038"/>
    <d v="2023-02-04T00:00:00"/>
    <x v="1"/>
    <s v="Charlie"/>
    <x v="0"/>
    <n v="8753.31"/>
    <n v="7"/>
    <x v="1"/>
    <n v="523.02"/>
    <n v="686.25"/>
    <s v="Returning"/>
    <x v="17"/>
    <s v="Cash"/>
    <x v="0"/>
    <x v="1"/>
    <n v="4611.5999999999995"/>
    <x v="107"/>
    <x v="0"/>
    <x v="107"/>
  </r>
  <r>
    <n v="1080"/>
    <d v="2023-02-05T00:00:00"/>
    <x v="1"/>
    <s v="Charlie"/>
    <x v="1"/>
    <n v="245.46"/>
    <n v="9"/>
    <x v="2"/>
    <n v="1141.52"/>
    <n v="1550.19"/>
    <s v="New"/>
    <x v="27"/>
    <s v="Credit Card"/>
    <x v="1"/>
    <x v="17"/>
    <n v="10045.2312"/>
    <x v="108"/>
    <x v="1"/>
    <x v="108"/>
  </r>
  <r>
    <n v="1048"/>
    <d v="2023-02-05T00:00:00"/>
    <x v="1"/>
    <s v="David"/>
    <x v="0"/>
    <n v="9070.26"/>
    <n v="42"/>
    <x v="2"/>
    <n v="4723.83"/>
    <n v="5186.1899999999996"/>
    <s v="Returning"/>
    <x v="23"/>
    <s v="Credit Card"/>
    <x v="0"/>
    <x v="19"/>
    <n v="169899.58439999999"/>
    <x v="109"/>
    <x v="1"/>
    <x v="109"/>
  </r>
  <r>
    <n v="1030"/>
    <d v="2023-02-05T00:00:00"/>
    <x v="1"/>
    <s v="David"/>
    <x v="3"/>
    <n v="236.08"/>
    <n v="49"/>
    <x v="1"/>
    <n v="2590.29"/>
    <n v="2925.86"/>
    <s v="Returning"/>
    <x v="12"/>
    <s v="Cash"/>
    <x v="1"/>
    <x v="12"/>
    <n v="106091.68359999999"/>
    <x v="110"/>
    <x v="1"/>
    <x v="110"/>
  </r>
  <r>
    <n v="1036"/>
    <d v="2023-02-06T00:00:00"/>
    <x v="1"/>
    <s v="Charlie"/>
    <x v="3"/>
    <n v="6242.69"/>
    <n v="26"/>
    <x v="2"/>
    <n v="4266.3599999999997"/>
    <n v="4331.4299999999903"/>
    <s v="Returning"/>
    <x v="1"/>
    <s v="Credit Card"/>
    <x v="1"/>
    <x v="6"/>
    <n v="96850.774799999781"/>
    <x v="111"/>
    <x v="1"/>
    <x v="111"/>
  </r>
  <r>
    <n v="1027"/>
    <d v="2023-02-06T00:00:00"/>
    <x v="1"/>
    <s v="Eve"/>
    <x v="2"/>
    <n v="3668.23"/>
    <n v="45"/>
    <x v="3"/>
    <n v="1153.9000000000001"/>
    <n v="1485.34"/>
    <s v="New"/>
    <x v="2"/>
    <s v="Credit Card"/>
    <x v="1"/>
    <x v="11"/>
    <n v="50130.224999999991"/>
    <x v="112"/>
    <x v="1"/>
    <x v="112"/>
  </r>
  <r>
    <n v="1026"/>
    <d v="2023-02-06T00:00:00"/>
    <x v="1"/>
    <s v="Bob"/>
    <x v="2"/>
    <n v="961.47"/>
    <n v="34"/>
    <x v="2"/>
    <n v="68.33"/>
    <n v="219.07999999999899"/>
    <s v="New"/>
    <x v="21"/>
    <s v="Credit Card"/>
    <x v="0"/>
    <x v="18"/>
    <n v="7299.7455999999656"/>
    <x v="113"/>
    <x v="0"/>
    <x v="113"/>
  </r>
  <r>
    <n v="1081"/>
    <d v="2023-02-07T00:00:00"/>
    <x v="1"/>
    <s v="David"/>
    <x v="3"/>
    <n v="3068.03"/>
    <n v="41"/>
    <x v="1"/>
    <n v="2782.08"/>
    <n v="2879.24"/>
    <s v="New"/>
    <x v="5"/>
    <s v="Bank Transfer"/>
    <x v="0"/>
    <x v="12"/>
    <n v="93258.583599999998"/>
    <x v="114"/>
    <x v="1"/>
    <x v="114"/>
  </r>
  <r>
    <n v="1072"/>
    <d v="2023-02-07T00:00:00"/>
    <x v="1"/>
    <s v="Bob"/>
    <x v="3"/>
    <n v="5490.38"/>
    <n v="26"/>
    <x v="3"/>
    <n v="3640.17"/>
    <n v="4002.63"/>
    <s v="New"/>
    <x v="0"/>
    <s v="Credit Card"/>
    <x v="1"/>
    <x v="5"/>
    <n v="98864.96100000001"/>
    <x v="115"/>
    <x v="0"/>
    <x v="115"/>
  </r>
  <r>
    <n v="1077"/>
    <d v="2023-02-07T00:00:00"/>
    <x v="1"/>
    <s v="Eve"/>
    <x v="2"/>
    <n v="9605.34"/>
    <n v="12"/>
    <x v="0"/>
    <n v="2427.46"/>
    <n v="2743.09"/>
    <s v="New"/>
    <x v="14"/>
    <s v="Credit Card"/>
    <x v="1"/>
    <x v="11"/>
    <n v="23371.126800000002"/>
    <x v="116"/>
    <x v="1"/>
    <x v="116"/>
  </r>
  <r>
    <n v="1027"/>
    <d v="2023-02-07T00:00:00"/>
    <x v="1"/>
    <s v="Bob"/>
    <x v="2"/>
    <n v="7896.74"/>
    <n v="3"/>
    <x v="3"/>
    <n v="999.09"/>
    <n v="1271.99"/>
    <s v="New"/>
    <x v="20"/>
    <s v="Credit Card"/>
    <x v="0"/>
    <x v="18"/>
    <n v="3243.5744999999997"/>
    <x v="117"/>
    <x v="0"/>
    <x v="117"/>
  </r>
  <r>
    <n v="1017"/>
    <d v="2023-02-07T00:00:00"/>
    <x v="1"/>
    <s v="Charlie"/>
    <x v="2"/>
    <n v="7542.3"/>
    <n v="2"/>
    <x v="3"/>
    <n v="728.41"/>
    <n v="1094.92"/>
    <s v="New"/>
    <x v="6"/>
    <s v="Cash"/>
    <x v="1"/>
    <x v="14"/>
    <n v="1664.2784000000001"/>
    <x v="118"/>
    <x v="0"/>
    <x v="118"/>
  </r>
  <r>
    <n v="1078"/>
    <d v="2023-02-08T00:00:00"/>
    <x v="1"/>
    <s v="Alice"/>
    <x v="1"/>
    <n v="9813.32"/>
    <n v="49"/>
    <x v="1"/>
    <n v="3026.85"/>
    <n v="3183.58"/>
    <s v="Returning"/>
    <x v="2"/>
    <s v="Cash"/>
    <x v="1"/>
    <x v="15"/>
    <n v="116996.565"/>
    <x v="119"/>
    <x v="1"/>
    <x v="119"/>
  </r>
  <r>
    <n v="1048"/>
    <d v="2023-02-08T00:00:00"/>
    <x v="1"/>
    <s v="Charlie"/>
    <x v="2"/>
    <n v="7454.53"/>
    <n v="27"/>
    <x v="0"/>
    <n v="3197.76"/>
    <n v="3572.61"/>
    <s v="Returning"/>
    <x v="19"/>
    <s v="Credit Card"/>
    <x v="0"/>
    <x v="14"/>
    <n v="88743.632400000002"/>
    <x v="120"/>
    <x v="0"/>
    <x v="120"/>
  </r>
  <r>
    <n v="1033"/>
    <d v="2023-02-08T00:00:00"/>
    <x v="1"/>
    <s v="Eve"/>
    <x v="0"/>
    <n v="8395.2900000000009"/>
    <n v="39"/>
    <x v="2"/>
    <n v="4232.8100000000004"/>
    <n v="4345.25"/>
    <s v="Returning"/>
    <x v="7"/>
    <s v="Bank Transfer"/>
    <x v="0"/>
    <x v="0"/>
    <n v="149128.98000000001"/>
    <x v="121"/>
    <x v="1"/>
    <x v="121"/>
  </r>
  <r>
    <n v="1090"/>
    <d v="2023-02-08T00:00:00"/>
    <x v="1"/>
    <s v="Charlie"/>
    <x v="0"/>
    <n v="1740.91"/>
    <n v="44"/>
    <x v="0"/>
    <n v="3542.18"/>
    <n v="3578.49"/>
    <s v="Returning"/>
    <x v="7"/>
    <s v="Cash"/>
    <x v="0"/>
    <x v="1"/>
    <n v="138559.13279999999"/>
    <x v="122"/>
    <x v="1"/>
    <x v="122"/>
  </r>
  <r>
    <n v="1015"/>
    <d v="2023-02-08T00:00:00"/>
    <x v="1"/>
    <s v="Charlie"/>
    <x v="3"/>
    <n v="2669.81"/>
    <n v="23"/>
    <x v="2"/>
    <n v="2644.77"/>
    <n v="2684.83"/>
    <s v="New"/>
    <x v="6"/>
    <s v="Cash"/>
    <x v="0"/>
    <x v="6"/>
    <n v="46930.828399999999"/>
    <x v="123"/>
    <x v="1"/>
    <x v="123"/>
  </r>
  <r>
    <n v="1027"/>
    <d v="2023-02-08T00:00:00"/>
    <x v="1"/>
    <s v="Alice"/>
    <x v="2"/>
    <n v="7179.49"/>
    <n v="20"/>
    <x v="2"/>
    <n v="1748.11"/>
    <n v="2220.9"/>
    <s v="New"/>
    <x v="24"/>
    <s v="Credit Card"/>
    <x v="1"/>
    <x v="16"/>
    <n v="34201.86"/>
    <x v="124"/>
    <x v="1"/>
    <x v="124"/>
  </r>
  <r>
    <n v="1092"/>
    <d v="2023-02-09T00:00:00"/>
    <x v="1"/>
    <s v="David"/>
    <x v="2"/>
    <n v="2749.17"/>
    <n v="34"/>
    <x v="1"/>
    <n v="2037.41"/>
    <n v="2238.65"/>
    <s v="New"/>
    <x v="13"/>
    <s v="Credit Card"/>
    <x v="0"/>
    <x v="4"/>
    <n v="53279.87"/>
    <x v="125"/>
    <x v="1"/>
    <x v="125"/>
  </r>
  <r>
    <n v="1046"/>
    <d v="2023-02-09T00:00:00"/>
    <x v="1"/>
    <s v="Charlie"/>
    <x v="3"/>
    <n v="9709.7000000000007"/>
    <n v="3"/>
    <x v="1"/>
    <n v="1216.1600000000001"/>
    <n v="1295.3699999999999"/>
    <s v="New"/>
    <x v="1"/>
    <s v="Cash"/>
    <x v="1"/>
    <x v="6"/>
    <n v="3342.0545999999999"/>
    <x v="126"/>
    <x v="1"/>
    <x v="126"/>
  </r>
  <r>
    <n v="1038"/>
    <d v="2023-02-09T00:00:00"/>
    <x v="1"/>
    <s v="Alice"/>
    <x v="3"/>
    <n v="5529.35"/>
    <n v="16"/>
    <x v="1"/>
    <n v="3899.7"/>
    <n v="4228.18"/>
    <s v="New"/>
    <x v="10"/>
    <s v="Cash"/>
    <x v="1"/>
    <x v="9"/>
    <n v="49385.142400000004"/>
    <x v="127"/>
    <x v="1"/>
    <x v="127"/>
  </r>
  <r>
    <n v="1039"/>
    <d v="2023-02-09T00:00:00"/>
    <x v="1"/>
    <s v="David"/>
    <x v="1"/>
    <n v="9091.4599999999991"/>
    <n v="20"/>
    <x v="3"/>
    <n v="2014.11"/>
    <n v="2056.35"/>
    <s v="Returning"/>
    <x v="5"/>
    <s v="Bank Transfer"/>
    <x v="1"/>
    <x v="3"/>
    <n v="32490.329999999998"/>
    <x v="128"/>
    <x v="1"/>
    <x v="128"/>
  </r>
  <r>
    <n v="1092"/>
    <d v="2023-02-09T00:00:00"/>
    <x v="1"/>
    <s v="Alice"/>
    <x v="1"/>
    <n v="7192.33"/>
    <n v="14"/>
    <x v="0"/>
    <n v="3586.58"/>
    <n v="4068.43"/>
    <s v="New"/>
    <x v="23"/>
    <s v="Credit Card"/>
    <x v="0"/>
    <x v="15"/>
    <n v="44427.255599999997"/>
    <x v="129"/>
    <x v="1"/>
    <x v="129"/>
  </r>
  <r>
    <n v="1020"/>
    <d v="2023-02-09T00:00:00"/>
    <x v="1"/>
    <s v="Charlie"/>
    <x v="3"/>
    <n v="2102.3200000000002"/>
    <n v="29"/>
    <x v="2"/>
    <n v="184.05"/>
    <n v="675.91"/>
    <s v="Returning"/>
    <x v="8"/>
    <s v="Cash"/>
    <x v="1"/>
    <x v="6"/>
    <n v="17641.251"/>
    <x v="130"/>
    <x v="0"/>
    <x v="130"/>
  </r>
  <r>
    <n v="1024"/>
    <d v="2023-02-10T00:00:00"/>
    <x v="1"/>
    <s v="David"/>
    <x v="3"/>
    <n v="6274.12"/>
    <n v="13"/>
    <x v="0"/>
    <n v="1493.88"/>
    <n v="1781.09"/>
    <s v="New"/>
    <x v="17"/>
    <s v="Cash"/>
    <x v="1"/>
    <x v="12"/>
    <n v="22228.003199999999"/>
    <x v="131"/>
    <x v="0"/>
    <x v="131"/>
  </r>
  <r>
    <n v="1056"/>
    <d v="2023-02-10T00:00:00"/>
    <x v="1"/>
    <s v="Bob"/>
    <x v="2"/>
    <n v="3063.9"/>
    <n v="42"/>
    <x v="1"/>
    <n v="1080.1199999999999"/>
    <n v="1424.1699999999901"/>
    <s v="New"/>
    <x v="8"/>
    <s v="Cash"/>
    <x v="0"/>
    <x v="18"/>
    <n v="53833.625999999625"/>
    <x v="132"/>
    <x v="0"/>
    <x v="132"/>
  </r>
  <r>
    <n v="1092"/>
    <d v="2023-02-10T00:00:00"/>
    <x v="1"/>
    <s v="Bob"/>
    <x v="3"/>
    <n v="5426.42"/>
    <n v="47"/>
    <x v="1"/>
    <n v="3681.53"/>
    <n v="4076.96"/>
    <s v="Returning"/>
    <x v="15"/>
    <s v="Cash"/>
    <x v="1"/>
    <x v="5"/>
    <n v="159042.2096"/>
    <x v="133"/>
    <x v="1"/>
    <x v="133"/>
  </r>
  <r>
    <n v="1021"/>
    <d v="2023-02-11T00:00:00"/>
    <x v="1"/>
    <s v="Charlie"/>
    <x v="2"/>
    <n v="3761.15"/>
    <n v="32"/>
    <x v="3"/>
    <n v="900.79"/>
    <n v="1106.51"/>
    <s v="New"/>
    <x v="5"/>
    <s v="Cash"/>
    <x v="0"/>
    <x v="14"/>
    <n v="27972.572800000002"/>
    <x v="134"/>
    <x v="1"/>
    <x v="134"/>
  </r>
  <r>
    <n v="1028"/>
    <d v="2023-02-11T00:00:00"/>
    <x v="1"/>
    <s v="Alice"/>
    <x v="3"/>
    <n v="2819.57"/>
    <n v="24"/>
    <x v="0"/>
    <n v="2521.0300000000002"/>
    <n v="2766.05"/>
    <s v="Returning"/>
    <x v="25"/>
    <s v="Bank Transfer"/>
    <x v="1"/>
    <x v="9"/>
    <n v="55763.567999999999"/>
    <x v="135"/>
    <x v="1"/>
    <x v="135"/>
  </r>
  <r>
    <n v="1014"/>
    <d v="2023-02-11T00:00:00"/>
    <x v="1"/>
    <s v="David"/>
    <x v="2"/>
    <n v="823.51"/>
    <n v="44"/>
    <x v="3"/>
    <n v="2257.48"/>
    <n v="2747.81"/>
    <s v="Returning"/>
    <x v="10"/>
    <s v="Cash"/>
    <x v="0"/>
    <x v="4"/>
    <n v="88259.657200000001"/>
    <x v="136"/>
    <x v="1"/>
    <x v="136"/>
  </r>
  <r>
    <n v="1050"/>
    <d v="2023-02-11T00:00:00"/>
    <x v="1"/>
    <s v="Charlie"/>
    <x v="2"/>
    <n v="1011.46"/>
    <n v="48"/>
    <x v="1"/>
    <n v="710.06"/>
    <n v="851.349999999999"/>
    <s v="Returning"/>
    <x v="17"/>
    <s v="Bank Transfer"/>
    <x v="0"/>
    <x v="14"/>
    <n v="39230.207999999955"/>
    <x v="137"/>
    <x v="0"/>
    <x v="137"/>
  </r>
  <r>
    <n v="1034"/>
    <d v="2023-02-11T00:00:00"/>
    <x v="1"/>
    <s v="Eve"/>
    <x v="1"/>
    <n v="2082.79"/>
    <n v="26"/>
    <x v="2"/>
    <n v="667"/>
    <n v="718.72"/>
    <s v="New"/>
    <x v="3"/>
    <s v="Cash"/>
    <x v="1"/>
    <x v="2"/>
    <n v="14949.376"/>
    <x v="138"/>
    <x v="1"/>
    <x v="138"/>
  </r>
  <r>
    <n v="1076"/>
    <d v="2023-02-13T00:00:00"/>
    <x v="1"/>
    <s v="Eve"/>
    <x v="0"/>
    <n v="6697.98"/>
    <n v="17"/>
    <x v="0"/>
    <n v="604.08000000000004"/>
    <n v="624.71"/>
    <s v="New"/>
    <x v="1"/>
    <s v="Bank Transfer"/>
    <x v="1"/>
    <x v="0"/>
    <n v="9133.2602000000006"/>
    <x v="139"/>
    <x v="1"/>
    <x v="139"/>
  </r>
  <r>
    <n v="1044"/>
    <d v="2023-02-14T00:00:00"/>
    <x v="1"/>
    <s v="David"/>
    <x v="2"/>
    <n v="9396.7800000000007"/>
    <n v="12"/>
    <x v="2"/>
    <n v="2221.31"/>
    <n v="2494.48"/>
    <s v="Returning"/>
    <x v="23"/>
    <s v="Bank Transfer"/>
    <x v="0"/>
    <x v="4"/>
    <n v="23348.3328"/>
    <x v="140"/>
    <x v="1"/>
    <x v="140"/>
  </r>
  <r>
    <n v="1099"/>
    <d v="2023-02-14T00:00:00"/>
    <x v="1"/>
    <s v="David"/>
    <x v="1"/>
    <n v="7802.45"/>
    <n v="32"/>
    <x v="0"/>
    <n v="1517.86"/>
    <n v="1948.46"/>
    <s v="New"/>
    <x v="21"/>
    <s v="Credit Card"/>
    <x v="0"/>
    <x v="3"/>
    <n v="61103.705600000001"/>
    <x v="141"/>
    <x v="0"/>
    <x v="141"/>
  </r>
  <r>
    <n v="1025"/>
    <d v="2023-02-15T00:00:00"/>
    <x v="1"/>
    <s v="David"/>
    <x v="1"/>
    <n v="4140.7"/>
    <n v="45"/>
    <x v="0"/>
    <n v="1588.04"/>
    <n v="1703.6399999999901"/>
    <s v="New"/>
    <x v="3"/>
    <s v="Bank Transfer"/>
    <x v="1"/>
    <x v="3"/>
    <n v="61331.039999999644"/>
    <x v="142"/>
    <x v="1"/>
    <x v="142"/>
  </r>
  <r>
    <n v="1074"/>
    <d v="2023-02-15T00:00:00"/>
    <x v="1"/>
    <s v="Alice"/>
    <x v="1"/>
    <n v="3320.38"/>
    <n v="31"/>
    <x v="1"/>
    <n v="1138.32"/>
    <n v="1266.25"/>
    <s v="Returning"/>
    <x v="1"/>
    <s v="Cash"/>
    <x v="1"/>
    <x v="15"/>
    <n v="33758.224999999999"/>
    <x v="143"/>
    <x v="1"/>
    <x v="143"/>
  </r>
  <r>
    <n v="1094"/>
    <d v="2023-02-15T00:00:00"/>
    <x v="1"/>
    <s v="Charlie"/>
    <x v="1"/>
    <n v="8643.67"/>
    <n v="47"/>
    <x v="3"/>
    <n v="3450.36"/>
    <n v="3557.38"/>
    <s v="New"/>
    <x v="3"/>
    <s v="Credit Card"/>
    <x v="0"/>
    <x v="17"/>
    <n v="133757.48800000001"/>
    <x v="144"/>
    <x v="1"/>
    <x v="144"/>
  </r>
  <r>
    <n v="1074"/>
    <d v="2023-02-15T00:00:00"/>
    <x v="1"/>
    <s v="Bob"/>
    <x v="2"/>
    <n v="1383.82"/>
    <n v="1"/>
    <x v="1"/>
    <n v="1304.23"/>
    <n v="1705.71"/>
    <s v="Returning"/>
    <x v="18"/>
    <s v="Cash"/>
    <x v="1"/>
    <x v="18"/>
    <n v="1688.6529"/>
    <x v="145"/>
    <x v="0"/>
    <x v="145"/>
  </r>
  <r>
    <n v="1044"/>
    <d v="2023-02-16T00:00:00"/>
    <x v="1"/>
    <s v="David"/>
    <x v="1"/>
    <n v="7754.1"/>
    <n v="22"/>
    <x v="3"/>
    <n v="3373.46"/>
    <n v="3454.76"/>
    <s v="Returning"/>
    <x v="23"/>
    <s v="Bank Transfer"/>
    <x v="1"/>
    <x v="3"/>
    <n v="59283.681600000004"/>
    <x v="146"/>
    <x v="1"/>
    <x v="146"/>
  </r>
  <r>
    <n v="1028"/>
    <d v="2023-02-16T00:00:00"/>
    <x v="1"/>
    <s v="Bob"/>
    <x v="3"/>
    <n v="4344.1499999999996"/>
    <n v="24"/>
    <x v="2"/>
    <n v="1969.09"/>
    <n v="2241.96"/>
    <s v="Returning"/>
    <x v="21"/>
    <s v="Credit Card"/>
    <x v="0"/>
    <x v="5"/>
    <n v="52730.8992"/>
    <x v="147"/>
    <x v="0"/>
    <x v="147"/>
  </r>
  <r>
    <n v="1010"/>
    <d v="2023-02-16T00:00:00"/>
    <x v="1"/>
    <s v="David"/>
    <x v="3"/>
    <n v="1678.97"/>
    <n v="47"/>
    <x v="1"/>
    <n v="2265.38"/>
    <n v="2429.9299999999998"/>
    <s v="Returning"/>
    <x v="22"/>
    <s v="Bank Transfer"/>
    <x v="0"/>
    <x v="12"/>
    <n v="107354.30739999998"/>
    <x v="148"/>
    <x v="0"/>
    <x v="148"/>
  </r>
  <r>
    <n v="1053"/>
    <d v="2023-02-16T00:00:00"/>
    <x v="1"/>
    <s v="Eve"/>
    <x v="2"/>
    <n v="3939.48"/>
    <n v="11"/>
    <x v="1"/>
    <n v="1582.86"/>
    <n v="1942.55"/>
    <s v="New"/>
    <x v="15"/>
    <s v="Credit Card"/>
    <x v="1"/>
    <x v="11"/>
    <n v="17735.481499999998"/>
    <x v="149"/>
    <x v="0"/>
    <x v="149"/>
  </r>
  <r>
    <n v="1001"/>
    <d v="2023-02-18T00:00:00"/>
    <x v="1"/>
    <s v="David"/>
    <x v="2"/>
    <n v="7154.95"/>
    <n v="27"/>
    <x v="0"/>
    <n v="939.02"/>
    <n v="1286.92"/>
    <s v="Returning"/>
    <x v="9"/>
    <s v="Credit Card"/>
    <x v="1"/>
    <x v="4"/>
    <n v="32314.561199999996"/>
    <x v="150"/>
    <x v="0"/>
    <x v="150"/>
  </r>
  <r>
    <n v="1007"/>
    <d v="2023-02-18T00:00:00"/>
    <x v="1"/>
    <s v="Alice"/>
    <x v="1"/>
    <n v="876.71"/>
    <n v="34"/>
    <x v="0"/>
    <n v="1921.07"/>
    <n v="2289.27"/>
    <s v="Returning"/>
    <x v="9"/>
    <s v="Bank Transfer"/>
    <x v="1"/>
    <x v="15"/>
    <n v="72386.717399999994"/>
    <x v="151"/>
    <x v="0"/>
    <x v="151"/>
  </r>
  <r>
    <n v="1003"/>
    <d v="2023-02-19T00:00:00"/>
    <x v="1"/>
    <s v="Alice"/>
    <x v="3"/>
    <n v="937.2"/>
    <n v="45"/>
    <x v="2"/>
    <n v="4974.1400000000003"/>
    <n v="5227.93"/>
    <s v="New"/>
    <x v="5"/>
    <s v="Bank Transfer"/>
    <x v="0"/>
    <x v="9"/>
    <n v="185852.91150000005"/>
    <x v="152"/>
    <x v="1"/>
    <x v="152"/>
  </r>
  <r>
    <n v="1084"/>
    <d v="2023-02-19T00:00:00"/>
    <x v="1"/>
    <s v="David"/>
    <x v="2"/>
    <n v="2154.66"/>
    <n v="35"/>
    <x v="3"/>
    <n v="465.61"/>
    <n v="812.91"/>
    <s v="New"/>
    <x v="25"/>
    <s v="Bank Transfer"/>
    <x v="0"/>
    <x v="4"/>
    <n v="23899.553999999996"/>
    <x v="153"/>
    <x v="0"/>
    <x v="153"/>
  </r>
  <r>
    <n v="1002"/>
    <d v="2023-02-20T00:00:00"/>
    <x v="1"/>
    <s v="Charlie"/>
    <x v="2"/>
    <n v="9469.92"/>
    <n v="26"/>
    <x v="3"/>
    <n v="508.94"/>
    <n v="557.69000000000005"/>
    <s v="New"/>
    <x v="23"/>
    <s v="Credit Card"/>
    <x v="1"/>
    <x v="14"/>
    <n v="11309.953200000002"/>
    <x v="154"/>
    <x v="1"/>
    <x v="154"/>
  </r>
  <r>
    <n v="1017"/>
    <d v="2023-02-20T00:00:00"/>
    <x v="1"/>
    <s v="Charlie"/>
    <x v="0"/>
    <n v="8189.57"/>
    <n v="16"/>
    <x v="1"/>
    <n v="102.23"/>
    <n v="167.12"/>
    <s v="New"/>
    <x v="17"/>
    <s v="Credit Card"/>
    <x v="1"/>
    <x v="1"/>
    <n v="2566.9632000000001"/>
    <x v="155"/>
    <x v="0"/>
    <x v="155"/>
  </r>
  <r>
    <n v="1049"/>
    <d v="2023-02-21T00:00:00"/>
    <x v="1"/>
    <s v="Alice"/>
    <x v="3"/>
    <n v="783.55"/>
    <n v="31"/>
    <x v="2"/>
    <n v="3570.24"/>
    <n v="3712.25"/>
    <s v="New"/>
    <x v="11"/>
    <s v="Credit Card"/>
    <x v="0"/>
    <x v="9"/>
    <n v="111627.35749999998"/>
    <x v="156"/>
    <x v="0"/>
    <x v="156"/>
  </r>
  <r>
    <n v="1046"/>
    <d v="2023-02-22T00:00:00"/>
    <x v="1"/>
    <s v="Alice"/>
    <x v="1"/>
    <n v="3391.32"/>
    <n v="46"/>
    <x v="0"/>
    <n v="2551.56"/>
    <n v="2841.68"/>
    <s v="New"/>
    <x v="26"/>
    <s v="Bank Transfer"/>
    <x v="1"/>
    <x v="15"/>
    <n v="118952.72480000001"/>
    <x v="157"/>
    <x v="0"/>
    <x v="157"/>
  </r>
  <r>
    <n v="1048"/>
    <d v="2023-02-23T00:00:00"/>
    <x v="1"/>
    <s v="Bob"/>
    <x v="2"/>
    <n v="7066.63"/>
    <n v="47"/>
    <x v="3"/>
    <n v="4535.8599999999997"/>
    <n v="4641.41"/>
    <s v="New"/>
    <x v="10"/>
    <s v="Credit Card"/>
    <x v="1"/>
    <x v="18"/>
    <n v="159246.77710000001"/>
    <x v="158"/>
    <x v="1"/>
    <x v="158"/>
  </r>
  <r>
    <n v="1100"/>
    <d v="2023-02-23T00:00:00"/>
    <x v="1"/>
    <s v="Eve"/>
    <x v="0"/>
    <n v="849.43"/>
    <n v="43"/>
    <x v="1"/>
    <n v="2116.09"/>
    <n v="2472.98"/>
    <s v="New"/>
    <x v="18"/>
    <s v="Credit Card"/>
    <x v="1"/>
    <x v="0"/>
    <n v="105274.7586"/>
    <x v="159"/>
    <x v="0"/>
    <x v="159"/>
  </r>
  <r>
    <n v="1068"/>
    <d v="2023-02-24T00:00:00"/>
    <x v="1"/>
    <s v="Bob"/>
    <x v="0"/>
    <n v="5118.51"/>
    <n v="22"/>
    <x v="0"/>
    <n v="3619.61"/>
    <n v="3651.42"/>
    <s v="Returning"/>
    <x v="12"/>
    <s v="Bank Transfer"/>
    <x v="0"/>
    <x v="10"/>
    <n v="59445.117599999998"/>
    <x v="160"/>
    <x v="1"/>
    <x v="160"/>
  </r>
  <r>
    <n v="1099"/>
    <d v="2023-02-24T00:00:00"/>
    <x v="1"/>
    <s v="David"/>
    <x v="3"/>
    <n v="8090"/>
    <n v="35"/>
    <x v="0"/>
    <n v="2610.19"/>
    <n v="2682.53"/>
    <s v="New"/>
    <x v="1"/>
    <s v="Cash"/>
    <x v="1"/>
    <x v="12"/>
    <n v="80744.153000000006"/>
    <x v="161"/>
    <x v="1"/>
    <x v="161"/>
  </r>
  <r>
    <n v="1054"/>
    <d v="2023-02-24T00:00:00"/>
    <x v="1"/>
    <s v="Alice"/>
    <x v="0"/>
    <n v="5664.52"/>
    <n v="43"/>
    <x v="3"/>
    <n v="2124.7199999999998"/>
    <n v="2188.66"/>
    <s v="Returning"/>
    <x v="11"/>
    <s v="Credit Card"/>
    <x v="1"/>
    <x v="13"/>
    <n v="91289.008600000001"/>
    <x v="162"/>
    <x v="1"/>
    <x v="162"/>
  </r>
  <r>
    <n v="1094"/>
    <d v="2023-02-24T00:00:00"/>
    <x v="1"/>
    <s v="Bob"/>
    <x v="2"/>
    <n v="6171.59"/>
    <n v="7"/>
    <x v="1"/>
    <n v="4122.38"/>
    <n v="4358.78"/>
    <s v="Returning"/>
    <x v="12"/>
    <s v="Bank Transfer"/>
    <x v="1"/>
    <x v="18"/>
    <n v="22578.4804"/>
    <x v="163"/>
    <x v="1"/>
    <x v="163"/>
  </r>
  <r>
    <n v="1008"/>
    <d v="2023-02-24T00:00:00"/>
    <x v="1"/>
    <s v="Eve"/>
    <x v="2"/>
    <n v="5751.69"/>
    <n v="22"/>
    <x v="2"/>
    <n v="2269.3200000000002"/>
    <n v="2365.35"/>
    <s v="New"/>
    <x v="11"/>
    <s v="Cash"/>
    <x v="1"/>
    <x v="11"/>
    <n v="50476.568999999996"/>
    <x v="164"/>
    <x v="0"/>
    <x v="164"/>
  </r>
  <r>
    <n v="1013"/>
    <d v="2023-02-25T00:00:00"/>
    <x v="1"/>
    <s v="Eve"/>
    <x v="3"/>
    <n v="4791.82"/>
    <n v="31"/>
    <x v="3"/>
    <n v="2757.06"/>
    <n v="3023.97"/>
    <s v="Returning"/>
    <x v="5"/>
    <s v="Cash"/>
    <x v="0"/>
    <x v="7"/>
    <n v="74057.025299999994"/>
    <x v="165"/>
    <x v="1"/>
    <x v="165"/>
  </r>
  <r>
    <n v="1086"/>
    <d v="2023-02-26T00:00:00"/>
    <x v="1"/>
    <s v="Bob"/>
    <x v="2"/>
    <n v="2559"/>
    <n v="5"/>
    <x v="2"/>
    <n v="4934.1000000000004"/>
    <n v="5191.0200000000004"/>
    <s v="New"/>
    <x v="13"/>
    <s v="Bank Transfer"/>
    <x v="0"/>
    <x v="18"/>
    <n v="18168.57"/>
    <x v="166"/>
    <x v="1"/>
    <x v="166"/>
  </r>
  <r>
    <n v="1085"/>
    <d v="2023-02-27T00:00:00"/>
    <x v="1"/>
    <s v="Eve"/>
    <x v="2"/>
    <n v="5324.01"/>
    <n v="45"/>
    <x v="1"/>
    <n v="3325.96"/>
    <n v="3781.4"/>
    <s v="Returning"/>
    <x v="10"/>
    <s v="Credit Card"/>
    <x v="0"/>
    <x v="11"/>
    <n v="124218.99"/>
    <x v="167"/>
    <x v="1"/>
    <x v="167"/>
  </r>
  <r>
    <n v="1083"/>
    <d v="2023-02-27T00:00:00"/>
    <x v="1"/>
    <s v="Alice"/>
    <x v="2"/>
    <n v="1780.31"/>
    <n v="20"/>
    <x v="0"/>
    <n v="3617.59"/>
    <n v="4003.5"/>
    <s v="New"/>
    <x v="18"/>
    <s v="Credit Card"/>
    <x v="1"/>
    <x v="16"/>
    <n v="79269.3"/>
    <x v="168"/>
    <x v="0"/>
    <x v="168"/>
  </r>
  <r>
    <n v="1087"/>
    <d v="2023-02-28T00:00:00"/>
    <x v="1"/>
    <s v="Alice"/>
    <x v="2"/>
    <n v="7534.3"/>
    <n v="15"/>
    <x v="1"/>
    <n v="4074.66"/>
    <n v="4261.1099999999997"/>
    <s v="Returning"/>
    <x v="0"/>
    <s v="Credit Card"/>
    <x v="1"/>
    <x v="16"/>
    <n v="60720.81749999999"/>
    <x v="169"/>
    <x v="1"/>
    <x v="169"/>
  </r>
  <r>
    <n v="1033"/>
    <d v="2023-02-28T00:00:00"/>
    <x v="1"/>
    <s v="David"/>
    <x v="2"/>
    <n v="4155.74"/>
    <n v="3"/>
    <x v="0"/>
    <n v="2958.75"/>
    <n v="3177.64"/>
    <s v="Returning"/>
    <x v="15"/>
    <s v="Cash"/>
    <x v="0"/>
    <x v="4"/>
    <n v="7912.3235999999997"/>
    <x v="170"/>
    <x v="1"/>
    <x v="170"/>
  </r>
  <r>
    <n v="1012"/>
    <d v="2023-02-28T00:00:00"/>
    <x v="1"/>
    <s v="David"/>
    <x v="3"/>
    <n v="5650.72"/>
    <n v="33"/>
    <x v="3"/>
    <n v="3831.09"/>
    <n v="3908.37"/>
    <s v="New"/>
    <x v="14"/>
    <s v="Cash"/>
    <x v="1"/>
    <x v="12"/>
    <n v="91573.109099999987"/>
    <x v="171"/>
    <x v="1"/>
    <x v="171"/>
  </r>
  <r>
    <n v="1025"/>
    <d v="2023-02-28T00:00:00"/>
    <x v="1"/>
    <s v="Bob"/>
    <x v="3"/>
    <n v="8236.1299999999992"/>
    <n v="14"/>
    <x v="2"/>
    <n v="859.59"/>
    <n v="884.51"/>
    <s v="New"/>
    <x v="7"/>
    <s v="Bank Transfer"/>
    <x v="0"/>
    <x v="5"/>
    <n v="10897.163199999999"/>
    <x v="172"/>
    <x v="1"/>
    <x v="172"/>
  </r>
  <r>
    <n v="1056"/>
    <d v="2023-02-28T00:00:00"/>
    <x v="1"/>
    <s v="Eve"/>
    <x v="0"/>
    <n v="6629.16"/>
    <n v="37"/>
    <x v="2"/>
    <n v="1555.41"/>
    <n v="1609.94"/>
    <s v="Returning"/>
    <x v="25"/>
    <s v="Credit Card"/>
    <x v="0"/>
    <x v="0"/>
    <n v="50036.9352"/>
    <x v="173"/>
    <x v="1"/>
    <x v="173"/>
  </r>
  <r>
    <n v="1007"/>
    <d v="2023-02-28T00:00:00"/>
    <x v="1"/>
    <s v="Charlie"/>
    <x v="3"/>
    <n v="1833.72"/>
    <n v="43"/>
    <x v="1"/>
    <n v="3967.25"/>
    <n v="4272.92"/>
    <s v="New"/>
    <x v="10"/>
    <s v="Credit Card"/>
    <x v="0"/>
    <x v="6"/>
    <n v="134126.95879999999"/>
    <x v="174"/>
    <x v="1"/>
    <x v="174"/>
  </r>
  <r>
    <n v="1029"/>
    <d v="2023-03-01T00:00:00"/>
    <x v="2"/>
    <s v="David"/>
    <x v="3"/>
    <n v="6773.89"/>
    <n v="28"/>
    <x v="0"/>
    <n v="2873.53"/>
    <n v="3108.3"/>
    <s v="New"/>
    <x v="20"/>
    <s v="Credit Card"/>
    <x v="1"/>
    <x v="12"/>
    <n v="73977.540000000008"/>
    <x v="175"/>
    <x v="1"/>
    <x v="175"/>
  </r>
  <r>
    <n v="1041"/>
    <d v="2023-03-01T00:00:00"/>
    <x v="2"/>
    <s v="Charlie"/>
    <x v="3"/>
    <n v="4170.8"/>
    <n v="44"/>
    <x v="2"/>
    <n v="3288.39"/>
    <n v="3391.46"/>
    <s v="New"/>
    <x v="0"/>
    <s v="Credit Card"/>
    <x v="1"/>
    <x v="6"/>
    <n v="141763.02799999999"/>
    <x v="176"/>
    <x v="1"/>
    <x v="176"/>
  </r>
  <r>
    <n v="1034"/>
    <d v="2023-03-01T00:00:00"/>
    <x v="2"/>
    <s v="Charlie"/>
    <x v="2"/>
    <n v="2842.42"/>
    <n v="45"/>
    <x v="3"/>
    <n v="2013.12"/>
    <n v="2321.87"/>
    <s v="New"/>
    <x v="30"/>
    <s v="Bank Transfer"/>
    <x v="1"/>
    <x v="14"/>
    <n v="85677.003000000012"/>
    <x v="177"/>
    <x v="1"/>
    <x v="177"/>
  </r>
  <r>
    <n v="1058"/>
    <d v="2023-03-02T00:00:00"/>
    <x v="2"/>
    <s v="Eve"/>
    <x v="2"/>
    <n v="9333.83"/>
    <n v="39"/>
    <x v="3"/>
    <n v="3542.8"/>
    <n v="3603.02"/>
    <s v="Returning"/>
    <x v="12"/>
    <s v="Cash"/>
    <x v="0"/>
    <x v="11"/>
    <n v="103983.1572"/>
    <x v="178"/>
    <x v="1"/>
    <x v="178"/>
  </r>
  <r>
    <n v="1023"/>
    <d v="2023-03-02T00:00:00"/>
    <x v="2"/>
    <s v="David"/>
    <x v="2"/>
    <n v="1260.32"/>
    <n v="39"/>
    <x v="3"/>
    <n v="4450.6099999999997"/>
    <n v="4663.3399999999901"/>
    <s v="New"/>
    <x v="6"/>
    <s v="Cash"/>
    <x v="1"/>
    <x v="4"/>
    <n v="138221.39759999971"/>
    <x v="179"/>
    <x v="1"/>
    <x v="179"/>
  </r>
  <r>
    <n v="1058"/>
    <d v="2023-03-02T00:00:00"/>
    <x v="2"/>
    <s v="Eve"/>
    <x v="3"/>
    <n v="5463.43"/>
    <n v="49"/>
    <x v="1"/>
    <n v="1307.22"/>
    <n v="1528.4"/>
    <s v="Returning"/>
    <x v="6"/>
    <s v="Cash"/>
    <x v="1"/>
    <x v="7"/>
    <n v="56917.616000000002"/>
    <x v="180"/>
    <x v="1"/>
    <x v="180"/>
  </r>
  <r>
    <n v="1007"/>
    <d v="2023-03-03T00:00:00"/>
    <x v="2"/>
    <s v="Eve"/>
    <x v="2"/>
    <n v="4694.54"/>
    <n v="1"/>
    <x v="3"/>
    <n v="2543.2600000000002"/>
    <n v="2637.91"/>
    <s v="Returning"/>
    <x v="3"/>
    <s v="Credit Card"/>
    <x v="0"/>
    <x v="11"/>
    <n v="2110.328"/>
    <x v="181"/>
    <x v="1"/>
    <x v="181"/>
  </r>
  <r>
    <n v="1035"/>
    <d v="2023-03-03T00:00:00"/>
    <x v="2"/>
    <s v="Bob"/>
    <x v="2"/>
    <n v="2494.7399999999998"/>
    <n v="47"/>
    <x v="2"/>
    <n v="2936.48"/>
    <n v="3096.64"/>
    <s v="New"/>
    <x v="22"/>
    <s v="Bank Transfer"/>
    <x v="0"/>
    <x v="18"/>
    <n v="136809.5552"/>
    <x v="182"/>
    <x v="1"/>
    <x v="182"/>
  </r>
  <r>
    <n v="1089"/>
    <d v="2023-03-03T00:00:00"/>
    <x v="2"/>
    <s v="Charlie"/>
    <x v="0"/>
    <n v="2122.73"/>
    <n v="4"/>
    <x v="1"/>
    <n v="4117.67"/>
    <n v="4280.0600000000004"/>
    <s v="Returning"/>
    <x v="30"/>
    <s v="Bank Transfer"/>
    <x v="0"/>
    <x v="1"/>
    <n v="14038.596800000003"/>
    <x v="183"/>
    <x v="1"/>
    <x v="183"/>
  </r>
  <r>
    <n v="1095"/>
    <d v="2023-03-03T00:00:00"/>
    <x v="2"/>
    <s v="Eve"/>
    <x v="3"/>
    <n v="6518.35"/>
    <n v="16"/>
    <x v="2"/>
    <n v="3591.05"/>
    <n v="3625.35"/>
    <s v="Returning"/>
    <x v="0"/>
    <s v="Credit Card"/>
    <x v="1"/>
    <x v="7"/>
    <n v="55105.319999999992"/>
    <x v="184"/>
    <x v="1"/>
    <x v="184"/>
  </r>
  <r>
    <n v="1099"/>
    <d v="2023-03-04T00:00:00"/>
    <x v="2"/>
    <s v="David"/>
    <x v="3"/>
    <n v="7952.11"/>
    <n v="10"/>
    <x v="1"/>
    <n v="1531.2"/>
    <n v="1955.56"/>
    <s v="New"/>
    <x v="4"/>
    <s v="Credit Card"/>
    <x v="0"/>
    <x v="12"/>
    <n v="19555.599999999999"/>
    <x v="185"/>
    <x v="0"/>
    <x v="185"/>
  </r>
  <r>
    <n v="1070"/>
    <d v="2023-03-04T00:00:00"/>
    <x v="2"/>
    <s v="Bob"/>
    <x v="1"/>
    <n v="8771.24"/>
    <n v="15"/>
    <x v="2"/>
    <n v="3653.66"/>
    <n v="3896.19"/>
    <s v="New"/>
    <x v="11"/>
    <s v="Credit Card"/>
    <x v="1"/>
    <x v="8"/>
    <n v="56689.564499999993"/>
    <x v="186"/>
    <x v="0"/>
    <x v="186"/>
  </r>
  <r>
    <n v="1033"/>
    <d v="2023-03-04T00:00:00"/>
    <x v="2"/>
    <s v="Bob"/>
    <x v="2"/>
    <n v="8499.41"/>
    <n v="14"/>
    <x v="0"/>
    <n v="362.38"/>
    <n v="753.81"/>
    <s v="Returning"/>
    <x v="28"/>
    <s v="Cash"/>
    <x v="1"/>
    <x v="18"/>
    <n v="8548.2053999999989"/>
    <x v="187"/>
    <x v="0"/>
    <x v="187"/>
  </r>
  <r>
    <n v="1094"/>
    <d v="2023-03-04T00:00:00"/>
    <x v="2"/>
    <s v="Bob"/>
    <x v="0"/>
    <n v="3992.63"/>
    <n v="49"/>
    <x v="3"/>
    <n v="615.47"/>
    <n v="715.84"/>
    <s v="Returning"/>
    <x v="5"/>
    <s v="Credit Card"/>
    <x v="1"/>
    <x v="10"/>
    <n v="27710.166399999998"/>
    <x v="188"/>
    <x v="1"/>
    <x v="188"/>
  </r>
  <r>
    <n v="1009"/>
    <d v="2023-03-04T00:00:00"/>
    <x v="2"/>
    <s v="David"/>
    <x v="3"/>
    <n v="198.79"/>
    <n v="1"/>
    <x v="0"/>
    <n v="3223.07"/>
    <n v="3590.83"/>
    <s v="New"/>
    <x v="28"/>
    <s v="Bank Transfer"/>
    <x v="1"/>
    <x v="12"/>
    <n v="2908.5723000000003"/>
    <x v="189"/>
    <x v="1"/>
    <x v="189"/>
  </r>
  <r>
    <n v="1058"/>
    <d v="2023-03-05T00:00:00"/>
    <x v="2"/>
    <s v="Eve"/>
    <x v="0"/>
    <n v="252.41"/>
    <n v="48"/>
    <x v="1"/>
    <n v="2596.7199999999998"/>
    <n v="2715.0499999999902"/>
    <s v="Returning"/>
    <x v="17"/>
    <s v="Cash"/>
    <x v="0"/>
    <x v="0"/>
    <n v="125109.50399999954"/>
    <x v="190"/>
    <x v="0"/>
    <x v="190"/>
  </r>
  <r>
    <n v="1050"/>
    <d v="2023-03-05T00:00:00"/>
    <x v="2"/>
    <s v="Bob"/>
    <x v="0"/>
    <n v="9755.9"/>
    <n v="20"/>
    <x v="2"/>
    <n v="3318.92"/>
    <n v="3785.91"/>
    <s v="New"/>
    <x v="6"/>
    <s v="Bank Transfer"/>
    <x v="0"/>
    <x v="10"/>
    <n v="57545.832000000002"/>
    <x v="191"/>
    <x v="1"/>
    <x v="191"/>
  </r>
  <r>
    <n v="1024"/>
    <d v="2023-03-06T00:00:00"/>
    <x v="2"/>
    <s v="Alice"/>
    <x v="1"/>
    <n v="9602.64"/>
    <n v="35"/>
    <x v="2"/>
    <n v="1258.53"/>
    <n v="1624.8899999999901"/>
    <s v="New"/>
    <x v="19"/>
    <s v="Credit Card"/>
    <x v="0"/>
    <x v="15"/>
    <n v="52321.457999999679"/>
    <x v="192"/>
    <x v="0"/>
    <x v="192"/>
  </r>
  <r>
    <n v="1005"/>
    <d v="2023-03-08T00:00:00"/>
    <x v="2"/>
    <s v="Alice"/>
    <x v="0"/>
    <n v="4426.26"/>
    <n v="12"/>
    <x v="0"/>
    <n v="253.29"/>
    <n v="683.78"/>
    <s v="New"/>
    <x v="2"/>
    <s v="Credit Card"/>
    <x v="0"/>
    <x v="13"/>
    <n v="6154.02"/>
    <x v="193"/>
    <x v="0"/>
    <x v="193"/>
  </r>
  <r>
    <n v="1067"/>
    <d v="2023-03-08T00:00:00"/>
    <x v="2"/>
    <s v="Bob"/>
    <x v="3"/>
    <n v="7078.22"/>
    <n v="28"/>
    <x v="2"/>
    <n v="3489.85"/>
    <n v="3842.5499999999902"/>
    <s v="New"/>
    <x v="11"/>
    <s v="Bank Transfer"/>
    <x v="0"/>
    <x v="5"/>
    <n v="104363.65799999973"/>
    <x v="194"/>
    <x v="0"/>
    <x v="194"/>
  </r>
  <r>
    <n v="1058"/>
    <d v="2023-03-09T00:00:00"/>
    <x v="2"/>
    <s v="Eve"/>
    <x v="1"/>
    <n v="3788.08"/>
    <n v="40"/>
    <x v="1"/>
    <n v="2249.7600000000002"/>
    <n v="2598.4"/>
    <s v="Returning"/>
    <x v="30"/>
    <s v="Credit Card"/>
    <x v="1"/>
    <x v="2"/>
    <n v="85227.520000000004"/>
    <x v="195"/>
    <x v="1"/>
    <x v="195"/>
  </r>
  <r>
    <n v="1040"/>
    <d v="2023-03-10T00:00:00"/>
    <x v="2"/>
    <s v="Charlie"/>
    <x v="3"/>
    <n v="2331.27"/>
    <n v="13"/>
    <x v="0"/>
    <n v="2750.18"/>
    <n v="2882.85"/>
    <s v="Returning"/>
    <x v="6"/>
    <s v="Credit Card"/>
    <x v="0"/>
    <x v="6"/>
    <n v="28482.557999999997"/>
    <x v="196"/>
    <x v="1"/>
    <x v="196"/>
  </r>
  <r>
    <n v="1027"/>
    <d v="2023-03-10T00:00:00"/>
    <x v="2"/>
    <s v="Eve"/>
    <x v="1"/>
    <n v="3985.34"/>
    <n v="21"/>
    <x v="3"/>
    <n v="2511.41"/>
    <n v="2848.3999999999901"/>
    <s v="Returning"/>
    <x v="22"/>
    <s v="Bank Transfer"/>
    <x v="0"/>
    <x v="2"/>
    <n v="56227.415999999801"/>
    <x v="197"/>
    <x v="0"/>
    <x v="197"/>
  </r>
  <r>
    <n v="1040"/>
    <d v="2023-03-10T00:00:00"/>
    <x v="2"/>
    <s v="Alice"/>
    <x v="3"/>
    <n v="1004.78"/>
    <n v="42"/>
    <x v="2"/>
    <n v="4205.29"/>
    <n v="4382.3500000000004"/>
    <s v="New"/>
    <x v="2"/>
    <s v="Cash"/>
    <x v="1"/>
    <x v="9"/>
    <n v="138044.02500000002"/>
    <x v="198"/>
    <x v="1"/>
    <x v="198"/>
  </r>
  <r>
    <n v="1038"/>
    <d v="2023-03-11T00:00:00"/>
    <x v="2"/>
    <s v="Bob"/>
    <x v="1"/>
    <n v="1452.35"/>
    <n v="15"/>
    <x v="0"/>
    <n v="2543.36"/>
    <n v="2790.1"/>
    <s v="Returning"/>
    <x v="9"/>
    <s v="Cash"/>
    <x v="0"/>
    <x v="8"/>
    <n v="38921.894999999997"/>
    <x v="199"/>
    <x v="0"/>
    <x v="199"/>
  </r>
  <r>
    <n v="1061"/>
    <d v="2023-03-13T00:00:00"/>
    <x v="2"/>
    <s v="Bob"/>
    <x v="1"/>
    <n v="6321.42"/>
    <n v="11"/>
    <x v="0"/>
    <n v="2594.71"/>
    <n v="2769.52"/>
    <s v="Returning"/>
    <x v="18"/>
    <s v="Bank Transfer"/>
    <x v="1"/>
    <x v="8"/>
    <n v="30160.072799999998"/>
    <x v="200"/>
    <x v="0"/>
    <x v="200"/>
  </r>
  <r>
    <n v="1032"/>
    <d v="2023-03-13T00:00:00"/>
    <x v="2"/>
    <s v="Alice"/>
    <x v="0"/>
    <n v="5768.81"/>
    <n v="20"/>
    <x v="2"/>
    <n v="4741.59"/>
    <n v="4975.2299999999996"/>
    <s v="New"/>
    <x v="26"/>
    <s v="Credit Card"/>
    <x v="0"/>
    <x v="13"/>
    <n v="90549.185999999987"/>
    <x v="201"/>
    <x v="1"/>
    <x v="201"/>
  </r>
  <r>
    <n v="1038"/>
    <d v="2023-03-13T00:00:00"/>
    <x v="2"/>
    <s v="David"/>
    <x v="0"/>
    <n v="763.46"/>
    <n v="9"/>
    <x v="0"/>
    <n v="400.42"/>
    <n v="446.11"/>
    <s v="New"/>
    <x v="18"/>
    <s v="Bank Transfer"/>
    <x v="1"/>
    <x v="19"/>
    <n v="3974.8401000000003"/>
    <x v="202"/>
    <x v="0"/>
    <x v="202"/>
  </r>
  <r>
    <n v="1030"/>
    <d v="2023-03-13T00:00:00"/>
    <x v="2"/>
    <s v="Alice"/>
    <x v="0"/>
    <n v="9385.86"/>
    <n v="39"/>
    <x v="3"/>
    <n v="2511.2800000000002"/>
    <n v="2658.06"/>
    <s v="New"/>
    <x v="28"/>
    <s v="Credit Card"/>
    <x v="1"/>
    <x v="13"/>
    <n v="83968.11540000001"/>
    <x v="203"/>
    <x v="1"/>
    <x v="203"/>
  </r>
  <r>
    <n v="1090"/>
    <d v="2023-03-14T00:00:00"/>
    <x v="2"/>
    <s v="David"/>
    <x v="3"/>
    <n v="6761.43"/>
    <n v="47"/>
    <x v="1"/>
    <n v="2310.8200000000002"/>
    <n v="2714.71"/>
    <s v="New"/>
    <x v="28"/>
    <s v="Cash"/>
    <x v="1"/>
    <x v="12"/>
    <n v="103349.00970000001"/>
    <x v="204"/>
    <x v="1"/>
    <x v="204"/>
  </r>
  <r>
    <n v="1062"/>
    <d v="2023-03-14T00:00:00"/>
    <x v="2"/>
    <s v="Alice"/>
    <x v="3"/>
    <n v="4178.3900000000003"/>
    <n v="24"/>
    <x v="3"/>
    <n v="3018.01"/>
    <n v="3418.19"/>
    <s v="Returning"/>
    <x v="24"/>
    <s v="Bank Transfer"/>
    <x v="1"/>
    <x v="9"/>
    <n v="63168.1512"/>
    <x v="205"/>
    <x v="1"/>
    <x v="205"/>
  </r>
  <r>
    <n v="1021"/>
    <d v="2023-03-14T00:00:00"/>
    <x v="2"/>
    <s v="David"/>
    <x v="1"/>
    <n v="7792.79"/>
    <n v="23"/>
    <x v="3"/>
    <n v="580.75"/>
    <n v="956.16"/>
    <s v="Returning"/>
    <x v="9"/>
    <s v="Cash"/>
    <x v="1"/>
    <x v="3"/>
    <n v="20452.262399999996"/>
    <x v="206"/>
    <x v="0"/>
    <x v="206"/>
  </r>
  <r>
    <n v="1060"/>
    <d v="2023-03-15T00:00:00"/>
    <x v="2"/>
    <s v="David"/>
    <x v="1"/>
    <n v="8594.43"/>
    <n v="44"/>
    <x v="0"/>
    <n v="2211.9499999999998"/>
    <n v="2512.8399999999901"/>
    <s v="Returning"/>
    <x v="17"/>
    <s v="Cash"/>
    <x v="0"/>
    <x v="3"/>
    <n v="106142.36159999958"/>
    <x v="207"/>
    <x v="0"/>
    <x v="207"/>
  </r>
  <r>
    <n v="1062"/>
    <d v="2023-03-16T00:00:00"/>
    <x v="2"/>
    <s v="David"/>
    <x v="2"/>
    <n v="4195.0600000000004"/>
    <n v="45"/>
    <x v="1"/>
    <n v="4849.6000000000004"/>
    <n v="5166.72"/>
    <s v="Returning"/>
    <x v="2"/>
    <s v="Credit Card"/>
    <x v="0"/>
    <x v="4"/>
    <n v="174376.8"/>
    <x v="208"/>
    <x v="1"/>
    <x v="208"/>
  </r>
  <r>
    <n v="1097"/>
    <d v="2023-03-16T00:00:00"/>
    <x v="2"/>
    <s v="David"/>
    <x v="1"/>
    <n v="471.95"/>
    <n v="35"/>
    <x v="3"/>
    <n v="1958.49"/>
    <n v="2254.84"/>
    <s v="New"/>
    <x v="25"/>
    <s v="Credit Card"/>
    <x v="0"/>
    <x v="3"/>
    <n v="66292.296000000002"/>
    <x v="209"/>
    <x v="1"/>
    <x v="209"/>
  </r>
  <r>
    <n v="1039"/>
    <d v="2023-03-16T00:00:00"/>
    <x v="2"/>
    <s v="Eve"/>
    <x v="0"/>
    <n v="6076.01"/>
    <n v="35"/>
    <x v="1"/>
    <n v="2735.74"/>
    <n v="3181.22999999999"/>
    <s v="New"/>
    <x v="8"/>
    <s v="Credit Card"/>
    <x v="1"/>
    <x v="0"/>
    <n v="100208.74499999968"/>
    <x v="210"/>
    <x v="0"/>
    <x v="210"/>
  </r>
  <r>
    <n v="1098"/>
    <d v="2023-03-16T00:00:00"/>
    <x v="2"/>
    <s v="David"/>
    <x v="1"/>
    <n v="6780.38"/>
    <n v="11"/>
    <x v="1"/>
    <n v="741.48"/>
    <n v="878.09"/>
    <s v="New"/>
    <x v="14"/>
    <s v="Cash"/>
    <x v="1"/>
    <x v="3"/>
    <n v="6857.8828999999996"/>
    <x v="211"/>
    <x v="1"/>
    <x v="211"/>
  </r>
  <r>
    <n v="1024"/>
    <d v="2023-03-17T00:00:00"/>
    <x v="2"/>
    <s v="Eve"/>
    <x v="1"/>
    <n v="5825.15"/>
    <n v="46"/>
    <x v="2"/>
    <n v="2016.49"/>
    <n v="2338.66"/>
    <s v="Returning"/>
    <x v="28"/>
    <s v="Bank Transfer"/>
    <x v="1"/>
    <x v="2"/>
    <n v="87138.47159999999"/>
    <x v="212"/>
    <x v="1"/>
    <x v="212"/>
  </r>
  <r>
    <n v="1036"/>
    <d v="2023-03-17T00:00:00"/>
    <x v="2"/>
    <s v="Alice"/>
    <x v="3"/>
    <n v="2583.84"/>
    <n v="23"/>
    <x v="3"/>
    <n v="3335.53"/>
    <n v="3742.12"/>
    <s v="New"/>
    <x v="11"/>
    <s v="Bank Transfer"/>
    <x v="1"/>
    <x v="9"/>
    <n v="83486.697199999995"/>
    <x v="213"/>
    <x v="0"/>
    <x v="213"/>
  </r>
  <r>
    <n v="1017"/>
    <d v="2023-03-17T00:00:00"/>
    <x v="2"/>
    <s v="Bob"/>
    <x v="0"/>
    <n v="2401.81"/>
    <n v="28"/>
    <x v="0"/>
    <n v="3780.91"/>
    <n v="3892.73"/>
    <s v="Returning"/>
    <x v="8"/>
    <s v="Cash"/>
    <x v="1"/>
    <x v="10"/>
    <n v="98096.796000000002"/>
    <x v="214"/>
    <x v="1"/>
    <x v="214"/>
  </r>
  <r>
    <n v="1016"/>
    <d v="2023-03-18T00:00:00"/>
    <x v="2"/>
    <s v="David"/>
    <x v="1"/>
    <n v="485.9"/>
    <n v="4"/>
    <x v="3"/>
    <n v="688.98"/>
    <n v="863.81"/>
    <s v="New"/>
    <x v="10"/>
    <s v="Credit Card"/>
    <x v="1"/>
    <x v="3"/>
    <n v="2522.3251999999998"/>
    <x v="215"/>
    <x v="1"/>
    <x v="215"/>
  </r>
  <r>
    <n v="1095"/>
    <d v="2023-03-18T00:00:00"/>
    <x v="2"/>
    <s v="Eve"/>
    <x v="1"/>
    <n v="8057.67"/>
    <n v="43"/>
    <x v="1"/>
    <n v="1331.86"/>
    <n v="1758.98"/>
    <s v="Returning"/>
    <x v="24"/>
    <s v="Bank Transfer"/>
    <x v="1"/>
    <x v="2"/>
    <n v="58239.827799999999"/>
    <x v="216"/>
    <x v="0"/>
    <x v="216"/>
  </r>
  <r>
    <n v="1035"/>
    <d v="2023-03-19T00:00:00"/>
    <x v="2"/>
    <s v="Bob"/>
    <x v="1"/>
    <n v="5343.63"/>
    <n v="9"/>
    <x v="0"/>
    <n v="2534.94"/>
    <n v="2755.56"/>
    <s v="Returning"/>
    <x v="29"/>
    <s v="Credit Card"/>
    <x v="1"/>
    <x v="8"/>
    <n v="21576.034800000001"/>
    <x v="217"/>
    <x v="1"/>
    <x v="217"/>
  </r>
  <r>
    <n v="1020"/>
    <d v="2023-03-19T00:00:00"/>
    <x v="2"/>
    <s v="Eve"/>
    <x v="2"/>
    <n v="9335.9599999999991"/>
    <n v="19"/>
    <x v="3"/>
    <n v="1783.48"/>
    <n v="1931.56"/>
    <s v="Returning"/>
    <x v="10"/>
    <s v="Bank Transfer"/>
    <x v="1"/>
    <x v="11"/>
    <n v="26790.7372"/>
    <x v="218"/>
    <x v="1"/>
    <x v="218"/>
  </r>
  <r>
    <n v="1030"/>
    <d v="2023-03-19T00:00:00"/>
    <x v="2"/>
    <s v="David"/>
    <x v="3"/>
    <n v="1874.63"/>
    <n v="2"/>
    <x v="0"/>
    <n v="844.94"/>
    <n v="1225.6400000000001"/>
    <s v="Returning"/>
    <x v="24"/>
    <s v="Credit Card"/>
    <x v="0"/>
    <x v="12"/>
    <n v="1887.4856000000002"/>
    <x v="219"/>
    <x v="0"/>
    <x v="219"/>
  </r>
  <r>
    <n v="1011"/>
    <d v="2023-03-20T00:00:00"/>
    <x v="2"/>
    <s v="Bob"/>
    <x v="3"/>
    <n v="3484.86"/>
    <n v="2"/>
    <x v="1"/>
    <n v="4906.17"/>
    <n v="5107.43"/>
    <s v="Returning"/>
    <x v="8"/>
    <s v="Cash"/>
    <x v="0"/>
    <x v="5"/>
    <n v="9193.3740000000016"/>
    <x v="220"/>
    <x v="1"/>
    <x v="220"/>
  </r>
  <r>
    <n v="1026"/>
    <d v="2023-03-20T00:00:00"/>
    <x v="2"/>
    <s v="Bob"/>
    <x v="3"/>
    <n v="614.69000000000005"/>
    <n v="19"/>
    <x v="2"/>
    <n v="4991.68"/>
    <n v="5296.65"/>
    <s v="New"/>
    <x v="7"/>
    <s v="Bank Transfer"/>
    <x v="0"/>
    <x v="5"/>
    <n v="88559.987999999998"/>
    <x v="221"/>
    <x v="1"/>
    <x v="221"/>
  </r>
  <r>
    <n v="1069"/>
    <d v="2023-03-21T00:00:00"/>
    <x v="2"/>
    <s v="Bob"/>
    <x v="3"/>
    <n v="9369.18"/>
    <n v="29"/>
    <x v="1"/>
    <n v="2462.66"/>
    <n v="2908.0899999999901"/>
    <s v="New"/>
    <x v="7"/>
    <s v="Credit Card"/>
    <x v="0"/>
    <x v="5"/>
    <n v="74214.456799999753"/>
    <x v="222"/>
    <x v="0"/>
    <x v="222"/>
  </r>
  <r>
    <n v="1084"/>
    <d v="2023-03-21T00:00:00"/>
    <x v="2"/>
    <s v="Eve"/>
    <x v="1"/>
    <n v="3617.67"/>
    <n v="40"/>
    <x v="3"/>
    <n v="2890.95"/>
    <n v="3104.43"/>
    <s v="New"/>
    <x v="5"/>
    <s v="Bank Transfer"/>
    <x v="0"/>
    <x v="2"/>
    <n v="98099.987999999998"/>
    <x v="223"/>
    <x v="1"/>
    <x v="223"/>
  </r>
  <r>
    <n v="1097"/>
    <d v="2023-03-22T00:00:00"/>
    <x v="2"/>
    <s v="Eve"/>
    <x v="0"/>
    <n v="6747.64"/>
    <n v="6"/>
    <x v="2"/>
    <n v="4885.9799999999996"/>
    <n v="4949.95"/>
    <s v="Returning"/>
    <x v="15"/>
    <s v="Bank Transfer"/>
    <x v="0"/>
    <x v="0"/>
    <n v="24650.750999999997"/>
    <x v="224"/>
    <x v="1"/>
    <x v="224"/>
  </r>
  <r>
    <n v="1076"/>
    <d v="2023-03-22T00:00:00"/>
    <x v="2"/>
    <s v="Charlie"/>
    <x v="1"/>
    <n v="316.94"/>
    <n v="23"/>
    <x v="3"/>
    <n v="2759.16"/>
    <n v="2864.45"/>
    <s v="Returning"/>
    <x v="30"/>
    <s v="Credit Card"/>
    <x v="1"/>
    <x v="17"/>
    <n v="54023.527000000002"/>
    <x v="225"/>
    <x v="1"/>
    <x v="225"/>
  </r>
  <r>
    <n v="1061"/>
    <d v="2023-03-22T00:00:00"/>
    <x v="2"/>
    <s v="Alice"/>
    <x v="3"/>
    <n v="8915.0499999999993"/>
    <n v="34"/>
    <x v="0"/>
    <n v="2680.82"/>
    <n v="2771.02"/>
    <s v="New"/>
    <x v="3"/>
    <s v="Bank Transfer"/>
    <x v="0"/>
    <x v="9"/>
    <n v="75371.744000000006"/>
    <x v="226"/>
    <x v="1"/>
    <x v="226"/>
  </r>
  <r>
    <n v="1035"/>
    <d v="2023-03-23T00:00:00"/>
    <x v="2"/>
    <s v="David"/>
    <x v="3"/>
    <n v="613.16999999999996"/>
    <n v="30"/>
    <x v="0"/>
    <n v="1300.03"/>
    <n v="1745.52"/>
    <s v="New"/>
    <x v="26"/>
    <s v="Cash"/>
    <x v="1"/>
    <x v="12"/>
    <n v="47652.695999999996"/>
    <x v="227"/>
    <x v="0"/>
    <x v="227"/>
  </r>
  <r>
    <n v="1092"/>
    <d v="2023-03-23T00:00:00"/>
    <x v="2"/>
    <s v="Bob"/>
    <x v="1"/>
    <n v="7914"/>
    <n v="18"/>
    <x v="3"/>
    <n v="3070.47"/>
    <n v="3475.29"/>
    <s v="Returning"/>
    <x v="3"/>
    <s v="Bank Transfer"/>
    <x v="0"/>
    <x v="8"/>
    <n v="50044.175999999999"/>
    <x v="228"/>
    <x v="1"/>
    <x v="228"/>
  </r>
  <r>
    <n v="1031"/>
    <d v="2023-03-23T00:00:00"/>
    <x v="2"/>
    <s v="Eve"/>
    <x v="3"/>
    <n v="433.4"/>
    <n v="32"/>
    <x v="0"/>
    <n v="3351.33"/>
    <n v="3711.47"/>
    <s v="New"/>
    <x v="25"/>
    <s v="Cash"/>
    <x v="1"/>
    <x v="7"/>
    <n v="99764.313599999994"/>
    <x v="229"/>
    <x v="1"/>
    <x v="229"/>
  </r>
  <r>
    <n v="1078"/>
    <d v="2023-03-23T00:00:00"/>
    <x v="2"/>
    <s v="Eve"/>
    <x v="2"/>
    <n v="3808.03"/>
    <n v="33"/>
    <x v="0"/>
    <n v="2396.6799999999998"/>
    <n v="2661.54"/>
    <s v="New"/>
    <x v="30"/>
    <s v="Bank Transfer"/>
    <x v="0"/>
    <x v="11"/>
    <n v="72021.272400000002"/>
    <x v="230"/>
    <x v="1"/>
    <x v="230"/>
  </r>
  <r>
    <n v="1061"/>
    <d v="2023-03-24T00:00:00"/>
    <x v="2"/>
    <s v="Charlie"/>
    <x v="3"/>
    <n v="3750.2"/>
    <n v="13"/>
    <x v="2"/>
    <n v="637.37"/>
    <n v="692.71"/>
    <s v="New"/>
    <x v="19"/>
    <s v="Credit Card"/>
    <x v="0"/>
    <x v="6"/>
    <n v="8284.8116000000009"/>
    <x v="231"/>
    <x v="1"/>
    <x v="231"/>
  </r>
  <r>
    <n v="1074"/>
    <d v="2023-03-25T00:00:00"/>
    <x v="2"/>
    <s v="Eve"/>
    <x v="2"/>
    <n v="7499.7"/>
    <n v="38"/>
    <x v="3"/>
    <n v="2610.6"/>
    <n v="2836.94"/>
    <s v="Returning"/>
    <x v="28"/>
    <s v="Credit Card"/>
    <x v="0"/>
    <x v="11"/>
    <n v="87321.013200000001"/>
    <x v="232"/>
    <x v="1"/>
    <x v="232"/>
  </r>
  <r>
    <n v="1092"/>
    <d v="2023-03-25T00:00:00"/>
    <x v="2"/>
    <s v="Alice"/>
    <x v="2"/>
    <n v="1897.98"/>
    <n v="49"/>
    <x v="1"/>
    <n v="2315"/>
    <n v="2467.2800000000002"/>
    <s v="New"/>
    <x v="20"/>
    <s v="Bank Transfer"/>
    <x v="1"/>
    <x v="16"/>
    <n v="102762.212"/>
    <x v="233"/>
    <x v="1"/>
    <x v="233"/>
  </r>
  <r>
    <n v="1055"/>
    <d v="2023-03-25T00:00:00"/>
    <x v="2"/>
    <s v="David"/>
    <x v="3"/>
    <n v="1756.83"/>
    <n v="11"/>
    <x v="2"/>
    <n v="2495.1999999999998"/>
    <n v="2600.9299999999998"/>
    <s v="New"/>
    <x v="5"/>
    <s v="Bank Transfer"/>
    <x v="1"/>
    <x v="12"/>
    <n v="22602.081699999999"/>
    <x v="234"/>
    <x v="1"/>
    <x v="234"/>
  </r>
  <r>
    <n v="1053"/>
    <d v="2023-03-25T00:00:00"/>
    <x v="2"/>
    <s v="Bob"/>
    <x v="3"/>
    <n v="7080.88"/>
    <n v="1"/>
    <x v="0"/>
    <n v="1702.82"/>
    <n v="1862.61"/>
    <s v="Returning"/>
    <x v="6"/>
    <s v="Cash"/>
    <x v="1"/>
    <x v="5"/>
    <n v="1415.5835999999999"/>
    <x v="235"/>
    <x v="1"/>
    <x v="235"/>
  </r>
  <r>
    <n v="1005"/>
    <d v="2023-03-25T00:00:00"/>
    <x v="2"/>
    <s v="Bob"/>
    <x v="2"/>
    <n v="7442.25"/>
    <n v="14"/>
    <x v="0"/>
    <n v="1861.2"/>
    <n v="2075.35"/>
    <s v="Returning"/>
    <x v="8"/>
    <s v="Credit Card"/>
    <x v="1"/>
    <x v="18"/>
    <n v="26149.41"/>
    <x v="236"/>
    <x v="0"/>
    <x v="236"/>
  </r>
  <r>
    <n v="1049"/>
    <d v="2023-03-25T00:00:00"/>
    <x v="2"/>
    <s v="Eve"/>
    <x v="3"/>
    <n v="8611.9699999999993"/>
    <n v="17"/>
    <x v="2"/>
    <n v="558.70000000000005"/>
    <n v="1004.08"/>
    <s v="Returning"/>
    <x v="11"/>
    <s v="Credit Card"/>
    <x v="0"/>
    <x v="7"/>
    <n v="16557.279200000001"/>
    <x v="237"/>
    <x v="0"/>
    <x v="237"/>
  </r>
  <r>
    <n v="1097"/>
    <d v="2023-03-26T00:00:00"/>
    <x v="2"/>
    <s v="David"/>
    <x v="3"/>
    <n v="6286.25"/>
    <n v="7"/>
    <x v="0"/>
    <n v="1896.35"/>
    <n v="2394.1999999999998"/>
    <s v="New"/>
    <x v="23"/>
    <s v="Bank Transfer"/>
    <x v="0"/>
    <x v="12"/>
    <n v="13072.331999999999"/>
    <x v="238"/>
    <x v="1"/>
    <x v="238"/>
  </r>
  <r>
    <n v="1096"/>
    <d v="2023-03-27T00:00:00"/>
    <x v="2"/>
    <s v="Alice"/>
    <x v="0"/>
    <n v="4821.3100000000004"/>
    <n v="48"/>
    <x v="0"/>
    <n v="2449.21"/>
    <n v="2714.12"/>
    <s v="New"/>
    <x v="18"/>
    <s v="Credit Card"/>
    <x v="0"/>
    <x v="13"/>
    <n v="128974.98239999999"/>
    <x v="239"/>
    <x v="0"/>
    <x v="239"/>
  </r>
  <r>
    <n v="1010"/>
    <d v="2023-03-27T00:00:00"/>
    <x v="2"/>
    <s v="Eve"/>
    <x v="1"/>
    <n v="8159.84"/>
    <n v="37"/>
    <x v="0"/>
    <n v="4354.92"/>
    <n v="4495.88"/>
    <s v="Returning"/>
    <x v="18"/>
    <s v="Bank Transfer"/>
    <x v="0"/>
    <x v="2"/>
    <n v="164684.08439999999"/>
    <x v="240"/>
    <x v="0"/>
    <x v="240"/>
  </r>
  <r>
    <n v="1069"/>
    <d v="2023-03-27T00:00:00"/>
    <x v="2"/>
    <s v="David"/>
    <x v="3"/>
    <n v="719.39"/>
    <n v="47"/>
    <x v="2"/>
    <n v="4171.83"/>
    <n v="4320.93"/>
    <s v="New"/>
    <x v="9"/>
    <s v="Cash"/>
    <x v="0"/>
    <x v="12"/>
    <n v="188867.85029999999"/>
    <x v="241"/>
    <x v="1"/>
    <x v="241"/>
  </r>
  <r>
    <n v="1066"/>
    <d v="2023-03-28T00:00:00"/>
    <x v="2"/>
    <s v="Charlie"/>
    <x v="0"/>
    <n v="7297.86"/>
    <n v="7"/>
    <x v="0"/>
    <n v="523.41999999999996"/>
    <n v="632.43999999999903"/>
    <s v="New"/>
    <x v="3"/>
    <s v="Bank Transfer"/>
    <x v="0"/>
    <x v="1"/>
    <n v="3541.6639999999948"/>
    <x v="242"/>
    <x v="1"/>
    <x v="242"/>
  </r>
  <r>
    <n v="1045"/>
    <d v="2023-03-28T00:00:00"/>
    <x v="2"/>
    <s v="Eve"/>
    <x v="2"/>
    <n v="6792.66"/>
    <n v="14"/>
    <x v="0"/>
    <n v="635.28"/>
    <n v="831.13"/>
    <s v="Returning"/>
    <x v="15"/>
    <s v="Bank Transfer"/>
    <x v="1"/>
    <x v="11"/>
    <n v="9657.730599999999"/>
    <x v="243"/>
    <x v="0"/>
    <x v="243"/>
  </r>
  <r>
    <n v="1063"/>
    <d v="2023-03-28T00:00:00"/>
    <x v="2"/>
    <s v="Charlie"/>
    <x v="1"/>
    <n v="4947.28"/>
    <n v="42"/>
    <x v="3"/>
    <n v="1170.07"/>
    <n v="1669.94999999999"/>
    <s v="Returning"/>
    <x v="7"/>
    <s v="Bank Transfer"/>
    <x v="1"/>
    <x v="17"/>
    <n v="61721.351999999628"/>
    <x v="244"/>
    <x v="0"/>
    <x v="244"/>
  </r>
  <r>
    <n v="1022"/>
    <d v="2023-03-29T00:00:00"/>
    <x v="2"/>
    <s v="Bob"/>
    <x v="2"/>
    <n v="8640.14"/>
    <n v="45"/>
    <x v="1"/>
    <n v="4020.09"/>
    <n v="4087.91"/>
    <s v="Returning"/>
    <x v="22"/>
    <s v="Bank Transfer"/>
    <x v="0"/>
    <x v="18"/>
    <n v="172918.59299999999"/>
    <x v="245"/>
    <x v="1"/>
    <x v="245"/>
  </r>
  <r>
    <n v="1010"/>
    <d v="2023-03-29T00:00:00"/>
    <x v="2"/>
    <s v="Alice"/>
    <x v="1"/>
    <n v="3329.91"/>
    <n v="49"/>
    <x v="3"/>
    <n v="1150.3"/>
    <n v="1306.02"/>
    <s v="New"/>
    <x v="22"/>
    <s v="Credit Card"/>
    <x v="1"/>
    <x v="15"/>
    <n v="60155.281199999998"/>
    <x v="246"/>
    <x v="0"/>
    <x v="246"/>
  </r>
  <r>
    <n v="1005"/>
    <d v="2023-03-30T00:00:00"/>
    <x v="2"/>
    <s v="Alice"/>
    <x v="3"/>
    <n v="6828.24"/>
    <n v="12"/>
    <x v="2"/>
    <n v="319.83"/>
    <n v="802.43"/>
    <s v="New"/>
    <x v="17"/>
    <s v="Credit Card"/>
    <x v="1"/>
    <x v="9"/>
    <n v="9243.993599999998"/>
    <x v="247"/>
    <x v="0"/>
    <x v="247"/>
  </r>
  <r>
    <n v="1007"/>
    <d v="2023-03-30T00:00:00"/>
    <x v="2"/>
    <s v="David"/>
    <x v="3"/>
    <n v="8088.96"/>
    <n v="14"/>
    <x v="1"/>
    <n v="1122.07"/>
    <n v="1608.76"/>
    <s v="New"/>
    <x v="23"/>
    <s v="Cash"/>
    <x v="1"/>
    <x v="12"/>
    <n v="17567.659200000002"/>
    <x v="248"/>
    <x v="0"/>
    <x v="248"/>
  </r>
  <r>
    <n v="1085"/>
    <d v="2023-03-30T00:00:00"/>
    <x v="2"/>
    <s v="David"/>
    <x v="2"/>
    <n v="9278.4"/>
    <n v="45"/>
    <x v="0"/>
    <n v="4763.1099999999997"/>
    <n v="5119.91"/>
    <s v="Returning"/>
    <x v="14"/>
    <s v="Cash"/>
    <x v="1"/>
    <x v="4"/>
    <n v="163581.12449999998"/>
    <x v="249"/>
    <x v="1"/>
    <x v="249"/>
  </r>
  <r>
    <n v="1009"/>
    <d v="2023-03-30T00:00:00"/>
    <x v="2"/>
    <s v="Charlie"/>
    <x v="1"/>
    <n v="2279.1"/>
    <n v="10"/>
    <x v="0"/>
    <n v="4364.3500000000004"/>
    <n v="4710.1000000000004"/>
    <s v="New"/>
    <x v="9"/>
    <s v="Credit Card"/>
    <x v="0"/>
    <x v="17"/>
    <n v="43803.93"/>
    <x v="250"/>
    <x v="0"/>
    <x v="250"/>
  </r>
  <r>
    <n v="1047"/>
    <d v="2023-03-31T00:00:00"/>
    <x v="2"/>
    <s v="Alice"/>
    <x v="3"/>
    <n v="3546.15"/>
    <n v="37"/>
    <x v="2"/>
    <n v="3114.88"/>
    <n v="3256.78"/>
    <s v="Returning"/>
    <x v="12"/>
    <s v="Credit Card"/>
    <x v="0"/>
    <x v="9"/>
    <n v="89170.636400000003"/>
    <x v="251"/>
    <x v="1"/>
    <x v="251"/>
  </r>
  <r>
    <n v="1016"/>
    <d v="2023-03-31T00:00:00"/>
    <x v="2"/>
    <s v="Eve"/>
    <x v="3"/>
    <n v="4309.76"/>
    <n v="38"/>
    <x v="2"/>
    <n v="3883.38"/>
    <n v="4152.72"/>
    <s v="Returning"/>
    <x v="12"/>
    <s v="Cash"/>
    <x v="0"/>
    <x v="7"/>
    <n v="116774.48639999999"/>
    <x v="252"/>
    <x v="1"/>
    <x v="252"/>
  </r>
  <r>
    <n v="1004"/>
    <d v="2023-03-31T00:00:00"/>
    <x v="2"/>
    <s v="Charlie"/>
    <x v="3"/>
    <n v="6744.46"/>
    <n v="12"/>
    <x v="0"/>
    <n v="4553.2299999999996"/>
    <n v="5038.74"/>
    <s v="New"/>
    <x v="26"/>
    <s v="Credit Card"/>
    <x v="1"/>
    <x v="6"/>
    <n v="55023.040799999995"/>
    <x v="253"/>
    <x v="0"/>
    <x v="253"/>
  </r>
  <r>
    <n v="1025"/>
    <d v="2023-03-31T00:00:00"/>
    <x v="2"/>
    <s v="David"/>
    <x v="2"/>
    <n v="4929.5600000000004"/>
    <n v="4"/>
    <x v="1"/>
    <n v="2751.06"/>
    <n v="2976.0099999999902"/>
    <s v="Returning"/>
    <x v="27"/>
    <s v="Credit Card"/>
    <x v="0"/>
    <x v="4"/>
    <n v="8570.908799999972"/>
    <x v="254"/>
    <x v="1"/>
    <x v="254"/>
  </r>
  <r>
    <n v="1059"/>
    <d v="2023-04-02T00:00:00"/>
    <x v="3"/>
    <s v="Eve"/>
    <x v="2"/>
    <n v="3595.2"/>
    <n v="12"/>
    <x v="3"/>
    <n v="3496.15"/>
    <n v="3955.75"/>
    <s v="Returning"/>
    <x v="27"/>
    <s v="Cash"/>
    <x v="1"/>
    <x v="11"/>
    <n v="34177.68"/>
    <x v="255"/>
    <x v="1"/>
    <x v="255"/>
  </r>
  <r>
    <n v="1048"/>
    <d v="2023-04-02T00:00:00"/>
    <x v="3"/>
    <s v="David"/>
    <x v="1"/>
    <n v="9673.65"/>
    <n v="45"/>
    <x v="2"/>
    <n v="4262.21"/>
    <n v="4533.3100000000004"/>
    <s v="Returning"/>
    <x v="10"/>
    <s v="Credit Card"/>
    <x v="0"/>
    <x v="3"/>
    <n v="148919.23350000003"/>
    <x v="256"/>
    <x v="1"/>
    <x v="256"/>
  </r>
  <r>
    <n v="1062"/>
    <d v="2023-04-02T00:00:00"/>
    <x v="3"/>
    <s v="Bob"/>
    <x v="3"/>
    <n v="6991.95"/>
    <n v="10"/>
    <x v="0"/>
    <n v="1524.88"/>
    <n v="1636.14"/>
    <s v="New"/>
    <x v="3"/>
    <s v="Bank Transfer"/>
    <x v="0"/>
    <x v="5"/>
    <n v="13089.120000000003"/>
    <x v="257"/>
    <x v="1"/>
    <x v="257"/>
  </r>
  <r>
    <n v="1005"/>
    <d v="2023-04-02T00:00:00"/>
    <x v="3"/>
    <s v="David"/>
    <x v="1"/>
    <n v="1646.45"/>
    <n v="46"/>
    <x v="1"/>
    <n v="4691.42"/>
    <n v="5026.1899999999996"/>
    <s v="Returning"/>
    <x v="23"/>
    <s v="Bank Transfer"/>
    <x v="1"/>
    <x v="3"/>
    <n v="180339.6972"/>
    <x v="258"/>
    <x v="1"/>
    <x v="258"/>
  </r>
  <r>
    <n v="1034"/>
    <d v="2023-04-02T00:00:00"/>
    <x v="3"/>
    <s v="Charlie"/>
    <x v="2"/>
    <n v="2184.02"/>
    <n v="7"/>
    <x v="2"/>
    <n v="2492.36"/>
    <n v="2738.68"/>
    <s v="Returning"/>
    <x v="16"/>
    <s v="Cash"/>
    <x v="0"/>
    <x v="14"/>
    <n v="17061.9764"/>
    <x v="259"/>
    <x v="1"/>
    <x v="259"/>
  </r>
  <r>
    <n v="1095"/>
    <d v="2023-04-03T00:00:00"/>
    <x v="3"/>
    <s v="Charlie"/>
    <x v="3"/>
    <n v="5873.59"/>
    <n v="9"/>
    <x v="3"/>
    <n v="2650.95"/>
    <n v="2860.4199999999901"/>
    <s v="New"/>
    <x v="7"/>
    <s v="Cash"/>
    <x v="1"/>
    <x v="6"/>
    <n v="22654.526399999919"/>
    <x v="260"/>
    <x v="1"/>
    <x v="260"/>
  </r>
  <r>
    <n v="1099"/>
    <d v="2023-04-03T00:00:00"/>
    <x v="3"/>
    <s v="Alice"/>
    <x v="0"/>
    <n v="2571.7199999999998"/>
    <n v="30"/>
    <x v="1"/>
    <n v="4495.82"/>
    <n v="4794.0099999999902"/>
    <s v="New"/>
    <x v="30"/>
    <s v="Bank Transfer"/>
    <x v="1"/>
    <x v="13"/>
    <n v="117932.64599999978"/>
    <x v="261"/>
    <x v="1"/>
    <x v="261"/>
  </r>
  <r>
    <n v="1051"/>
    <d v="2023-04-04T00:00:00"/>
    <x v="3"/>
    <s v="Bob"/>
    <x v="3"/>
    <n v="198.25"/>
    <n v="12"/>
    <x v="2"/>
    <n v="3544.48"/>
    <n v="3723.66"/>
    <s v="Returning"/>
    <x v="28"/>
    <s v="Cash"/>
    <x v="0"/>
    <x v="5"/>
    <n v="36193.975200000001"/>
    <x v="262"/>
    <x v="1"/>
    <x v="262"/>
  </r>
  <r>
    <n v="1078"/>
    <d v="2023-04-04T00:00:00"/>
    <x v="3"/>
    <s v="David"/>
    <x v="3"/>
    <n v="9631.41"/>
    <n v="49"/>
    <x v="1"/>
    <n v="1833.95"/>
    <n v="2147.14"/>
    <s v="Returning"/>
    <x v="30"/>
    <s v="Credit Card"/>
    <x v="1"/>
    <x v="12"/>
    <n v="86272.085200000001"/>
    <x v="263"/>
    <x v="1"/>
    <x v="263"/>
  </r>
  <r>
    <n v="1058"/>
    <d v="2023-04-05T00:00:00"/>
    <x v="3"/>
    <s v="Alice"/>
    <x v="0"/>
    <n v="2072.23"/>
    <n v="33"/>
    <x v="1"/>
    <n v="1011.65"/>
    <n v="1084.28"/>
    <s v="Returning"/>
    <x v="9"/>
    <s v="Bank Transfer"/>
    <x v="1"/>
    <x v="13"/>
    <n v="33276.553199999995"/>
    <x v="264"/>
    <x v="1"/>
    <x v="264"/>
  </r>
  <r>
    <n v="1087"/>
    <d v="2023-04-05T00:00:00"/>
    <x v="3"/>
    <s v="Eve"/>
    <x v="3"/>
    <n v="848.49"/>
    <n v="43"/>
    <x v="1"/>
    <n v="481"/>
    <n v="531.02"/>
    <s v="New"/>
    <x v="15"/>
    <s v="Cash"/>
    <x v="0"/>
    <x v="7"/>
    <n v="18952.103799999997"/>
    <x v="265"/>
    <x v="1"/>
    <x v="265"/>
  </r>
  <r>
    <n v="1062"/>
    <d v="2023-04-05T00:00:00"/>
    <x v="3"/>
    <s v="Bob"/>
    <x v="0"/>
    <n v="2959.96"/>
    <n v="48"/>
    <x v="3"/>
    <n v="2487.19"/>
    <n v="2521.4499999999998"/>
    <s v="New"/>
    <x v="14"/>
    <s v="Cash"/>
    <x v="0"/>
    <x v="10"/>
    <n v="85931.015999999989"/>
    <x v="266"/>
    <x v="1"/>
    <x v="266"/>
  </r>
  <r>
    <n v="1052"/>
    <d v="2023-04-05T00:00:00"/>
    <x v="3"/>
    <s v="Charlie"/>
    <x v="1"/>
    <n v="4744.16"/>
    <n v="26"/>
    <x v="0"/>
    <n v="4771.99"/>
    <n v="5079.6499999999996"/>
    <s v="New"/>
    <x v="14"/>
    <s v="Credit Card"/>
    <x v="0"/>
    <x v="17"/>
    <n v="93770.338999999993"/>
    <x v="267"/>
    <x v="1"/>
    <x v="267"/>
  </r>
  <r>
    <n v="1086"/>
    <d v="2023-04-06T00:00:00"/>
    <x v="3"/>
    <s v="Charlie"/>
    <x v="2"/>
    <n v="7212.69"/>
    <n v="32"/>
    <x v="2"/>
    <n v="3743.59"/>
    <n v="4116.38"/>
    <s v="Returning"/>
    <x v="16"/>
    <s v="Cash"/>
    <x v="0"/>
    <x v="14"/>
    <n v="117234.50240000001"/>
    <x v="268"/>
    <x v="1"/>
    <x v="268"/>
  </r>
  <r>
    <n v="1026"/>
    <d v="2023-04-06T00:00:00"/>
    <x v="3"/>
    <s v="Bob"/>
    <x v="1"/>
    <n v="927.19"/>
    <n v="4"/>
    <x v="2"/>
    <n v="3993.39"/>
    <n v="4288.3"/>
    <s v="New"/>
    <x v="29"/>
    <s v="Credit Card"/>
    <x v="0"/>
    <x v="8"/>
    <n v="14923.284"/>
    <x v="269"/>
    <x v="1"/>
    <x v="269"/>
  </r>
  <r>
    <n v="1068"/>
    <d v="2023-04-06T00:00:00"/>
    <x v="3"/>
    <s v="Alice"/>
    <x v="1"/>
    <n v="9093.5"/>
    <n v="31"/>
    <x v="0"/>
    <n v="3169.37"/>
    <n v="3304.15"/>
    <s v="Returning"/>
    <x v="2"/>
    <s v="Credit Card"/>
    <x v="1"/>
    <x v="15"/>
    <n v="76821.487500000003"/>
    <x v="270"/>
    <x v="1"/>
    <x v="270"/>
  </r>
  <r>
    <n v="1051"/>
    <d v="2023-04-07T00:00:00"/>
    <x v="3"/>
    <s v="Alice"/>
    <x v="2"/>
    <n v="5262.45"/>
    <n v="23"/>
    <x v="2"/>
    <n v="3325.43"/>
    <n v="3401.1"/>
    <s v="New"/>
    <x v="8"/>
    <s v="Cash"/>
    <x v="0"/>
    <x v="16"/>
    <n v="70402.76999999999"/>
    <x v="271"/>
    <x v="1"/>
    <x v="271"/>
  </r>
  <r>
    <n v="1033"/>
    <d v="2023-04-07T00:00:00"/>
    <x v="3"/>
    <s v="Bob"/>
    <x v="3"/>
    <n v="5509.66"/>
    <n v="4"/>
    <x v="3"/>
    <n v="2000.75"/>
    <n v="2426.9899999999998"/>
    <s v="Returning"/>
    <x v="15"/>
    <s v="Bank Transfer"/>
    <x v="0"/>
    <x v="5"/>
    <n v="8057.6067999999987"/>
    <x v="272"/>
    <x v="0"/>
    <x v="272"/>
  </r>
  <r>
    <n v="1009"/>
    <d v="2023-04-08T00:00:00"/>
    <x v="3"/>
    <s v="Charlie"/>
    <x v="1"/>
    <n v="2945.87"/>
    <n v="32"/>
    <x v="0"/>
    <n v="3219.88"/>
    <n v="3384.5"/>
    <s v="Returning"/>
    <x v="1"/>
    <s v="Cash"/>
    <x v="1"/>
    <x v="17"/>
    <n v="93141.440000000002"/>
    <x v="273"/>
    <x v="1"/>
    <x v="273"/>
  </r>
  <r>
    <n v="1098"/>
    <d v="2023-04-08T00:00:00"/>
    <x v="3"/>
    <s v="Eve"/>
    <x v="0"/>
    <n v="9452.89"/>
    <n v="5"/>
    <x v="2"/>
    <n v="2947.22"/>
    <n v="3145.27"/>
    <s v="New"/>
    <x v="8"/>
    <s v="Credit Card"/>
    <x v="1"/>
    <x v="0"/>
    <n v="14153.715"/>
    <x v="274"/>
    <x v="1"/>
    <x v="274"/>
  </r>
  <r>
    <n v="1096"/>
    <d v="2023-04-08T00:00:00"/>
    <x v="3"/>
    <s v="Charlie"/>
    <x v="1"/>
    <n v="5935.59"/>
    <n v="45"/>
    <x v="0"/>
    <n v="357.92"/>
    <n v="461.3"/>
    <s v="Returning"/>
    <x v="27"/>
    <s v="Cash"/>
    <x v="0"/>
    <x v="17"/>
    <n v="14946.12"/>
    <x v="275"/>
    <x v="1"/>
    <x v="275"/>
  </r>
  <r>
    <n v="1061"/>
    <d v="2023-04-08T00:00:00"/>
    <x v="3"/>
    <s v="Charlie"/>
    <x v="3"/>
    <n v="3988.03"/>
    <n v="29"/>
    <x v="0"/>
    <n v="1221.74"/>
    <n v="1611.92"/>
    <s v="New"/>
    <x v="20"/>
    <s v="Cash"/>
    <x v="1"/>
    <x v="6"/>
    <n v="39733.828000000001"/>
    <x v="276"/>
    <x v="0"/>
    <x v="276"/>
  </r>
  <r>
    <n v="1007"/>
    <d v="2023-04-08T00:00:00"/>
    <x v="3"/>
    <s v="Charlie"/>
    <x v="3"/>
    <n v="3758.78"/>
    <n v="13"/>
    <x v="0"/>
    <n v="3597.2"/>
    <n v="4071.8199999999902"/>
    <s v="Returning"/>
    <x v="14"/>
    <s v="Bank Transfer"/>
    <x v="0"/>
    <x v="6"/>
    <n v="37582.898599999906"/>
    <x v="277"/>
    <x v="1"/>
    <x v="277"/>
  </r>
  <r>
    <n v="1039"/>
    <d v="2023-04-09T00:00:00"/>
    <x v="3"/>
    <s v="Alice"/>
    <x v="0"/>
    <n v="763.04"/>
    <n v="3"/>
    <x v="3"/>
    <n v="391.19"/>
    <n v="471.75"/>
    <s v="Returning"/>
    <x v="10"/>
    <s v="Cash"/>
    <x v="0"/>
    <x v="13"/>
    <n v="1033.1324999999999"/>
    <x v="278"/>
    <x v="1"/>
    <x v="278"/>
  </r>
  <r>
    <n v="1059"/>
    <d v="2023-04-09T00:00:00"/>
    <x v="3"/>
    <s v="Charlie"/>
    <x v="1"/>
    <n v="8063.7"/>
    <n v="1"/>
    <x v="2"/>
    <n v="332.62"/>
    <n v="612.46"/>
    <s v="Returning"/>
    <x v="6"/>
    <s v="Cash"/>
    <x v="1"/>
    <x v="17"/>
    <n v="465.46960000000001"/>
    <x v="279"/>
    <x v="0"/>
    <x v="279"/>
  </r>
  <r>
    <n v="1083"/>
    <d v="2023-04-11T00:00:00"/>
    <x v="3"/>
    <s v="Bob"/>
    <x v="2"/>
    <n v="618.30999999999995"/>
    <n v="29"/>
    <x v="1"/>
    <n v="2408.81"/>
    <n v="2624.09"/>
    <s v="Returning"/>
    <x v="1"/>
    <s v="Cash"/>
    <x v="0"/>
    <x v="18"/>
    <n v="65444.804600000003"/>
    <x v="280"/>
    <x v="1"/>
    <x v="280"/>
  </r>
  <r>
    <n v="1014"/>
    <d v="2023-04-11T00:00:00"/>
    <x v="3"/>
    <s v="Alice"/>
    <x v="1"/>
    <n v="9582.1200000000008"/>
    <n v="38"/>
    <x v="3"/>
    <n v="2091.21"/>
    <n v="2527"/>
    <s v="Returning"/>
    <x v="18"/>
    <s v="Credit Card"/>
    <x v="0"/>
    <x v="15"/>
    <n v="95065.74"/>
    <x v="281"/>
    <x v="0"/>
    <x v="281"/>
  </r>
  <r>
    <n v="1002"/>
    <d v="2023-04-11T00:00:00"/>
    <x v="3"/>
    <s v="Bob"/>
    <x v="0"/>
    <n v="1942.75"/>
    <n v="21"/>
    <x v="3"/>
    <n v="914.22"/>
    <n v="971.57"/>
    <s v="Returning"/>
    <x v="1"/>
    <s v="Cash"/>
    <x v="0"/>
    <x v="10"/>
    <n v="17546.554199999999"/>
    <x v="282"/>
    <x v="1"/>
    <x v="282"/>
  </r>
  <r>
    <n v="1067"/>
    <d v="2023-04-11T00:00:00"/>
    <x v="3"/>
    <s v="Bob"/>
    <x v="3"/>
    <n v="8963.93"/>
    <n v="17"/>
    <x v="3"/>
    <n v="2831.58"/>
    <n v="3186.15"/>
    <s v="New"/>
    <x v="6"/>
    <s v="Bank Transfer"/>
    <x v="1"/>
    <x v="5"/>
    <n v="41165.058000000005"/>
    <x v="283"/>
    <x v="1"/>
    <x v="283"/>
  </r>
  <r>
    <n v="1063"/>
    <d v="2023-04-12T00:00:00"/>
    <x v="3"/>
    <s v="Charlie"/>
    <x v="0"/>
    <n v="5886.04"/>
    <n v="40"/>
    <x v="2"/>
    <n v="2101.3200000000002"/>
    <n v="2440.63"/>
    <s v="New"/>
    <x v="12"/>
    <s v="Bank Transfer"/>
    <x v="1"/>
    <x v="1"/>
    <n v="72242.648000000001"/>
    <x v="284"/>
    <x v="1"/>
    <x v="284"/>
  </r>
  <r>
    <n v="1081"/>
    <d v="2023-04-12T00:00:00"/>
    <x v="3"/>
    <s v="Bob"/>
    <x v="1"/>
    <n v="9680.84"/>
    <n v="19"/>
    <x v="3"/>
    <n v="2443.69"/>
    <n v="2462.34"/>
    <s v="New"/>
    <x v="9"/>
    <s v="Bank Transfer"/>
    <x v="1"/>
    <x v="8"/>
    <n v="43509.5478"/>
    <x v="285"/>
    <x v="1"/>
    <x v="285"/>
  </r>
  <r>
    <n v="1091"/>
    <d v="2023-04-13T00:00:00"/>
    <x v="3"/>
    <s v="Eve"/>
    <x v="2"/>
    <n v="9146.51"/>
    <n v="36"/>
    <x v="2"/>
    <n v="3951.59"/>
    <n v="4387.01"/>
    <s v="New"/>
    <x v="9"/>
    <s v="Bank Transfer"/>
    <x v="1"/>
    <x v="11"/>
    <n v="146877.09479999999"/>
    <x v="286"/>
    <x v="0"/>
    <x v="286"/>
  </r>
  <r>
    <n v="1008"/>
    <d v="2023-04-13T00:00:00"/>
    <x v="3"/>
    <s v="Charlie"/>
    <x v="1"/>
    <n v="5104.54"/>
    <n v="24"/>
    <x v="1"/>
    <n v="4739.13"/>
    <n v="4868.95"/>
    <s v="New"/>
    <x v="1"/>
    <s v="Credit Card"/>
    <x v="1"/>
    <x v="17"/>
    <n v="100495.128"/>
    <x v="287"/>
    <x v="1"/>
    <x v="287"/>
  </r>
  <r>
    <n v="1034"/>
    <d v="2023-04-14T00:00:00"/>
    <x v="3"/>
    <s v="Alice"/>
    <x v="2"/>
    <n v="534.61"/>
    <n v="3"/>
    <x v="0"/>
    <n v="3472.51"/>
    <n v="3732"/>
    <s v="New"/>
    <x v="22"/>
    <s v="Cash"/>
    <x v="0"/>
    <x v="16"/>
    <n v="10524.24"/>
    <x v="288"/>
    <x v="0"/>
    <x v="288"/>
  </r>
  <r>
    <n v="1099"/>
    <d v="2023-04-14T00:00:00"/>
    <x v="3"/>
    <s v="Alice"/>
    <x v="3"/>
    <n v="9948.7099999999991"/>
    <n v="27"/>
    <x v="3"/>
    <n v="4929.55"/>
    <n v="4990.33"/>
    <s v="Returning"/>
    <x v="14"/>
    <s v="Credit Card"/>
    <x v="0"/>
    <x v="9"/>
    <n v="95664.626099999994"/>
    <x v="289"/>
    <x v="1"/>
    <x v="289"/>
  </r>
  <r>
    <n v="1047"/>
    <d v="2023-04-14T00:00:00"/>
    <x v="3"/>
    <s v="Eve"/>
    <x v="2"/>
    <n v="7146.06"/>
    <n v="16"/>
    <x v="0"/>
    <n v="3966.86"/>
    <n v="4321.04"/>
    <s v="Returning"/>
    <x v="24"/>
    <s v="Credit Card"/>
    <x v="1"/>
    <x v="11"/>
    <n v="53235.212800000001"/>
    <x v="290"/>
    <x v="1"/>
    <x v="290"/>
  </r>
  <r>
    <n v="1032"/>
    <d v="2023-04-14T00:00:00"/>
    <x v="3"/>
    <s v="David"/>
    <x v="0"/>
    <n v="2286.44"/>
    <n v="45"/>
    <x v="0"/>
    <n v="3712.35"/>
    <n v="3780.88"/>
    <s v="New"/>
    <x v="9"/>
    <s v="Cash"/>
    <x v="1"/>
    <x v="19"/>
    <n v="158229.82799999998"/>
    <x v="291"/>
    <x v="1"/>
    <x v="291"/>
  </r>
  <r>
    <n v="1052"/>
    <d v="2023-04-14T00:00:00"/>
    <x v="3"/>
    <s v="David"/>
    <x v="0"/>
    <n v="1834.7"/>
    <n v="5"/>
    <x v="1"/>
    <n v="745.71"/>
    <n v="856.91"/>
    <s v="Returning"/>
    <x v="24"/>
    <s v="Bank Transfer"/>
    <x v="1"/>
    <x v="19"/>
    <n v="3299.1035000000002"/>
    <x v="292"/>
    <x v="1"/>
    <x v="292"/>
  </r>
  <r>
    <n v="1001"/>
    <d v="2023-04-14T00:00:00"/>
    <x v="3"/>
    <s v="David"/>
    <x v="3"/>
    <n v="5488.11"/>
    <n v="2"/>
    <x v="2"/>
    <n v="2631.68"/>
    <n v="2904.06"/>
    <s v="New"/>
    <x v="20"/>
    <s v="Bank Transfer"/>
    <x v="0"/>
    <x v="12"/>
    <n v="4936.902"/>
    <x v="293"/>
    <x v="1"/>
    <x v="293"/>
  </r>
  <r>
    <n v="1013"/>
    <d v="2023-04-15T00:00:00"/>
    <x v="3"/>
    <s v="Eve"/>
    <x v="0"/>
    <n v="7255.1"/>
    <n v="42"/>
    <x v="1"/>
    <n v="1375.57"/>
    <n v="1729.71"/>
    <s v="New"/>
    <x v="17"/>
    <s v="Cash"/>
    <x v="0"/>
    <x v="0"/>
    <n v="69741.907200000001"/>
    <x v="294"/>
    <x v="0"/>
    <x v="294"/>
  </r>
  <r>
    <n v="1010"/>
    <d v="2023-04-15T00:00:00"/>
    <x v="3"/>
    <s v="Charlie"/>
    <x v="0"/>
    <n v="4733.88"/>
    <n v="4"/>
    <x v="3"/>
    <n v="4943.03"/>
    <n v="5442.15"/>
    <s v="Returning"/>
    <x v="14"/>
    <s v="Cash"/>
    <x v="0"/>
    <x v="1"/>
    <n v="15455.705999999998"/>
    <x v="295"/>
    <x v="1"/>
    <x v="295"/>
  </r>
  <r>
    <n v="1081"/>
    <d v="2023-04-16T00:00:00"/>
    <x v="3"/>
    <s v="Charlie"/>
    <x v="2"/>
    <n v="2896.71"/>
    <n v="44"/>
    <x v="2"/>
    <n v="1362.15"/>
    <n v="1844.07"/>
    <s v="New"/>
    <x v="14"/>
    <s v="Credit Card"/>
    <x v="0"/>
    <x v="14"/>
    <n v="57608.746799999994"/>
    <x v="296"/>
    <x v="1"/>
    <x v="296"/>
  </r>
  <r>
    <n v="1027"/>
    <d v="2023-04-16T00:00:00"/>
    <x v="3"/>
    <s v="Alice"/>
    <x v="3"/>
    <n v="8241.57"/>
    <n v="7"/>
    <x v="3"/>
    <n v="2371.85"/>
    <n v="2457.29"/>
    <s v="New"/>
    <x v="11"/>
    <s v="Cash"/>
    <x v="1"/>
    <x v="9"/>
    <n v="16684.999100000001"/>
    <x v="297"/>
    <x v="0"/>
    <x v="297"/>
  </r>
  <r>
    <n v="1052"/>
    <d v="2023-04-17T00:00:00"/>
    <x v="3"/>
    <s v="Alice"/>
    <x v="1"/>
    <n v="8448.93"/>
    <n v="2"/>
    <x v="3"/>
    <n v="1935.41"/>
    <n v="2305.44"/>
    <s v="Returning"/>
    <x v="23"/>
    <s v="Credit Card"/>
    <x v="0"/>
    <x v="15"/>
    <n v="3596.4864000000002"/>
    <x v="298"/>
    <x v="1"/>
    <x v="298"/>
  </r>
  <r>
    <n v="1061"/>
    <d v="2023-04-18T00:00:00"/>
    <x v="3"/>
    <s v="Eve"/>
    <x v="0"/>
    <n v="3774.02"/>
    <n v="47"/>
    <x v="2"/>
    <n v="146.27000000000001"/>
    <n v="498.46"/>
    <s v="New"/>
    <x v="22"/>
    <s v="Cash"/>
    <x v="1"/>
    <x v="0"/>
    <n v="22021.962799999998"/>
    <x v="299"/>
    <x v="0"/>
    <x v="299"/>
  </r>
  <r>
    <n v="1035"/>
    <d v="2023-04-18T00:00:00"/>
    <x v="3"/>
    <s v="David"/>
    <x v="1"/>
    <n v="9417.1"/>
    <n v="34"/>
    <x v="3"/>
    <n v="1105.05"/>
    <n v="1200.96"/>
    <s v="Returning"/>
    <x v="28"/>
    <s v="Cash"/>
    <x v="0"/>
    <x v="3"/>
    <n v="33074.438400000006"/>
    <x v="300"/>
    <x v="1"/>
    <x v="300"/>
  </r>
  <r>
    <n v="1012"/>
    <d v="2023-04-18T00:00:00"/>
    <x v="3"/>
    <s v="Alice"/>
    <x v="1"/>
    <n v="1874.61"/>
    <n v="9"/>
    <x v="2"/>
    <n v="709.97"/>
    <n v="1029.71"/>
    <s v="Returning"/>
    <x v="29"/>
    <s v="Bank Transfer"/>
    <x v="1"/>
    <x v="15"/>
    <n v="8062.6293000000005"/>
    <x v="301"/>
    <x v="0"/>
    <x v="301"/>
  </r>
  <r>
    <n v="1033"/>
    <d v="2023-04-19T00:00:00"/>
    <x v="3"/>
    <s v="Bob"/>
    <x v="1"/>
    <n v="2758.48"/>
    <n v="5"/>
    <x v="1"/>
    <n v="3162.92"/>
    <n v="3409.93"/>
    <s v="New"/>
    <x v="4"/>
    <s v="Cash"/>
    <x v="0"/>
    <x v="8"/>
    <n v="17049.649999999998"/>
    <x v="302"/>
    <x v="0"/>
    <x v="302"/>
  </r>
  <r>
    <n v="1044"/>
    <d v="2023-04-20T00:00:00"/>
    <x v="3"/>
    <s v="Charlie"/>
    <x v="2"/>
    <n v="8564.7999999999993"/>
    <n v="34"/>
    <x v="3"/>
    <n v="3573.3"/>
    <n v="3740.13"/>
    <s v="Returning"/>
    <x v="18"/>
    <s v="Credit Card"/>
    <x v="0"/>
    <x v="14"/>
    <n v="125892.7758"/>
    <x v="303"/>
    <x v="0"/>
    <x v="303"/>
  </r>
  <r>
    <n v="1093"/>
    <d v="2023-04-21T00:00:00"/>
    <x v="3"/>
    <s v="Bob"/>
    <x v="2"/>
    <n v="4384.0200000000004"/>
    <n v="17"/>
    <x v="1"/>
    <n v="3816.39"/>
    <n v="4209.4399999999996"/>
    <s v="Returning"/>
    <x v="16"/>
    <s v="Cash"/>
    <x v="1"/>
    <x v="18"/>
    <n v="63688.827199999992"/>
    <x v="304"/>
    <x v="1"/>
    <x v="304"/>
  </r>
  <r>
    <n v="1009"/>
    <d v="2023-04-21T00:00:00"/>
    <x v="3"/>
    <s v="Eve"/>
    <x v="0"/>
    <n v="9813.66"/>
    <n v="47"/>
    <x v="0"/>
    <n v="359.41"/>
    <n v="733"/>
    <s v="Returning"/>
    <x v="3"/>
    <s v="Bank Transfer"/>
    <x v="1"/>
    <x v="0"/>
    <n v="27560.799999999999"/>
    <x v="305"/>
    <x v="0"/>
    <x v="305"/>
  </r>
  <r>
    <n v="1088"/>
    <d v="2023-04-21T00:00:00"/>
    <x v="3"/>
    <s v="Charlie"/>
    <x v="3"/>
    <n v="456.59"/>
    <n v="29"/>
    <x v="1"/>
    <n v="639.58000000000004"/>
    <n v="1107.45"/>
    <s v="New"/>
    <x v="14"/>
    <s v="Cash"/>
    <x v="1"/>
    <x v="6"/>
    <n v="22802.395499999999"/>
    <x v="306"/>
    <x v="0"/>
    <x v="306"/>
  </r>
  <r>
    <n v="1047"/>
    <d v="2023-04-21T00:00:00"/>
    <x v="3"/>
    <s v="Eve"/>
    <x v="2"/>
    <n v="6413.11"/>
    <n v="17"/>
    <x v="1"/>
    <n v="1591.34"/>
    <n v="2043.82"/>
    <s v="New"/>
    <x v="14"/>
    <s v="Cash"/>
    <x v="1"/>
    <x v="11"/>
    <n v="24668.907399999996"/>
    <x v="307"/>
    <x v="1"/>
    <x v="307"/>
  </r>
  <r>
    <n v="1090"/>
    <d v="2023-04-21T00:00:00"/>
    <x v="3"/>
    <s v="David"/>
    <x v="2"/>
    <n v="4883.49"/>
    <n v="35"/>
    <x v="2"/>
    <n v="1130.5999999999999"/>
    <n v="1466.1799999999901"/>
    <s v="Returning"/>
    <x v="29"/>
    <s v="Cash"/>
    <x v="0"/>
    <x v="4"/>
    <n v="44645.180999999699"/>
    <x v="308"/>
    <x v="0"/>
    <x v="308"/>
  </r>
  <r>
    <n v="1002"/>
    <d v="2023-04-22T00:00:00"/>
    <x v="3"/>
    <s v="Eve"/>
    <x v="0"/>
    <n v="6551.23"/>
    <n v="9"/>
    <x v="2"/>
    <n v="4398.16"/>
    <n v="4439.12"/>
    <s v="New"/>
    <x v="30"/>
    <s v="Bank Transfer"/>
    <x v="0"/>
    <x v="0"/>
    <n v="32760.705600000001"/>
    <x v="309"/>
    <x v="1"/>
    <x v="309"/>
  </r>
  <r>
    <n v="1061"/>
    <d v="2023-04-22T00:00:00"/>
    <x v="3"/>
    <s v="Eve"/>
    <x v="1"/>
    <n v="8345.02"/>
    <n v="39"/>
    <x v="2"/>
    <n v="3494.19"/>
    <n v="3746"/>
    <s v="Returning"/>
    <x v="2"/>
    <s v="Bank Transfer"/>
    <x v="1"/>
    <x v="2"/>
    <n v="109570.5"/>
    <x v="310"/>
    <x v="1"/>
    <x v="310"/>
  </r>
  <r>
    <n v="1060"/>
    <d v="2023-04-23T00:00:00"/>
    <x v="3"/>
    <s v="Eve"/>
    <x v="3"/>
    <n v="273.77"/>
    <n v="23"/>
    <x v="0"/>
    <n v="4110.6000000000004"/>
    <n v="4488.37"/>
    <s v="New"/>
    <x v="7"/>
    <s v="Credit Card"/>
    <x v="0"/>
    <x v="7"/>
    <n v="90844.608799999987"/>
    <x v="311"/>
    <x v="1"/>
    <x v="311"/>
  </r>
  <r>
    <n v="1033"/>
    <d v="2023-04-23T00:00:00"/>
    <x v="3"/>
    <s v="Charlie"/>
    <x v="3"/>
    <n v="7171.83"/>
    <n v="44"/>
    <x v="2"/>
    <n v="1195.22"/>
    <n v="1320.06"/>
    <s v="Returning"/>
    <x v="24"/>
    <s v="Bank Transfer"/>
    <x v="1"/>
    <x v="6"/>
    <n v="44723.632799999999"/>
    <x v="312"/>
    <x v="1"/>
    <x v="312"/>
  </r>
  <r>
    <n v="1008"/>
    <d v="2023-04-23T00:00:00"/>
    <x v="3"/>
    <s v="Eve"/>
    <x v="0"/>
    <n v="9154.0300000000007"/>
    <n v="35"/>
    <x v="0"/>
    <n v="600.20000000000005"/>
    <n v="1059.82"/>
    <s v="Returning"/>
    <x v="14"/>
    <s v="Bank Transfer"/>
    <x v="1"/>
    <x v="0"/>
    <n v="26336.526999999998"/>
    <x v="313"/>
    <x v="0"/>
    <x v="313"/>
  </r>
  <r>
    <n v="1016"/>
    <d v="2023-04-23T00:00:00"/>
    <x v="3"/>
    <s v="David"/>
    <x v="1"/>
    <n v="9961.9599999999991"/>
    <n v="6"/>
    <x v="1"/>
    <n v="4502.09"/>
    <n v="4879.72"/>
    <s v="New"/>
    <x v="29"/>
    <s v="Credit Card"/>
    <x v="0"/>
    <x v="3"/>
    <n v="25472.138400000003"/>
    <x v="314"/>
    <x v="1"/>
    <x v="314"/>
  </r>
  <r>
    <n v="1024"/>
    <d v="2023-04-24T00:00:00"/>
    <x v="3"/>
    <s v="David"/>
    <x v="0"/>
    <n v="4670.99"/>
    <n v="35"/>
    <x v="1"/>
    <n v="2051"/>
    <n v="2121.5500000000002"/>
    <s v="Returning"/>
    <x v="12"/>
    <s v="Cash"/>
    <x v="1"/>
    <x v="19"/>
    <n v="54948.145000000004"/>
    <x v="315"/>
    <x v="1"/>
    <x v="315"/>
  </r>
  <r>
    <n v="1054"/>
    <d v="2023-04-24T00:00:00"/>
    <x v="3"/>
    <s v="David"/>
    <x v="0"/>
    <n v="7524.78"/>
    <n v="48"/>
    <x v="3"/>
    <n v="2316.92"/>
    <n v="2462.63"/>
    <s v="New"/>
    <x v="17"/>
    <s v="Credit Card"/>
    <x v="0"/>
    <x v="19"/>
    <n v="113477.99040000001"/>
    <x v="316"/>
    <x v="0"/>
    <x v="316"/>
  </r>
  <r>
    <n v="1075"/>
    <d v="2023-04-25T00:00:00"/>
    <x v="3"/>
    <s v="David"/>
    <x v="2"/>
    <n v="4038.58"/>
    <n v="44"/>
    <x v="1"/>
    <n v="3519.29"/>
    <n v="3822.98"/>
    <s v="Returning"/>
    <x v="10"/>
    <s v="Bank Transfer"/>
    <x v="0"/>
    <x v="4"/>
    <n v="122794.1176"/>
    <x v="317"/>
    <x v="1"/>
    <x v="317"/>
  </r>
  <r>
    <n v="1095"/>
    <d v="2023-04-25T00:00:00"/>
    <x v="3"/>
    <s v="Bob"/>
    <x v="1"/>
    <n v="9805.65"/>
    <n v="10"/>
    <x v="2"/>
    <n v="3155.97"/>
    <n v="3263.49"/>
    <s v="Returning"/>
    <x v="17"/>
    <s v="Credit Card"/>
    <x v="0"/>
    <x v="8"/>
    <n v="31329.503999999997"/>
    <x v="318"/>
    <x v="1"/>
    <x v="318"/>
  </r>
  <r>
    <n v="1039"/>
    <d v="2023-04-25T00:00:00"/>
    <x v="3"/>
    <s v="Alice"/>
    <x v="3"/>
    <n v="5830.19"/>
    <n v="24"/>
    <x v="0"/>
    <n v="2615.48"/>
    <n v="3062.22"/>
    <s v="New"/>
    <x v="28"/>
    <s v="Bank Transfer"/>
    <x v="1"/>
    <x v="9"/>
    <n v="59529.556800000006"/>
    <x v="319"/>
    <x v="1"/>
    <x v="319"/>
  </r>
  <r>
    <n v="1075"/>
    <d v="2023-04-26T00:00:00"/>
    <x v="3"/>
    <s v="David"/>
    <x v="1"/>
    <n v="1457.77"/>
    <n v="37"/>
    <x v="2"/>
    <n v="4399.8"/>
    <n v="4801.0600000000004"/>
    <s v="New"/>
    <x v="29"/>
    <s v="Bank Transfer"/>
    <x v="1"/>
    <x v="3"/>
    <n v="154546.1214"/>
    <x v="320"/>
    <x v="1"/>
    <x v="320"/>
  </r>
  <r>
    <n v="1024"/>
    <d v="2023-04-27T00:00:00"/>
    <x v="3"/>
    <s v="Alice"/>
    <x v="2"/>
    <n v="7734.12"/>
    <n v="42"/>
    <x v="3"/>
    <n v="2069.0500000000002"/>
    <n v="2363.9"/>
    <s v="Returning"/>
    <x v="9"/>
    <s v="Cash"/>
    <x v="0"/>
    <x v="16"/>
    <n v="92333.934000000008"/>
    <x v="321"/>
    <x v="0"/>
    <x v="321"/>
  </r>
  <r>
    <n v="1020"/>
    <d v="2023-04-27T00:00:00"/>
    <x v="3"/>
    <s v="Alice"/>
    <x v="1"/>
    <n v="7095.64"/>
    <n v="33"/>
    <x v="1"/>
    <n v="4772.03"/>
    <n v="4805.17"/>
    <s v="Returning"/>
    <x v="27"/>
    <s v="Bank Transfer"/>
    <x v="0"/>
    <x v="15"/>
    <n v="114170.8392"/>
    <x v="322"/>
    <x v="1"/>
    <x v="322"/>
  </r>
  <r>
    <n v="1001"/>
    <d v="2023-04-27T00:00:00"/>
    <x v="3"/>
    <s v="Eve"/>
    <x v="3"/>
    <n v="3167.09"/>
    <n v="25"/>
    <x v="2"/>
    <n v="1330.62"/>
    <n v="1543.6899999999901"/>
    <s v="New"/>
    <x v="10"/>
    <s v="Credit Card"/>
    <x v="0"/>
    <x v="7"/>
    <n v="28172.342499999821"/>
    <x v="323"/>
    <x v="1"/>
    <x v="323"/>
  </r>
  <r>
    <n v="1064"/>
    <d v="2023-04-27T00:00:00"/>
    <x v="3"/>
    <s v="Bob"/>
    <x v="0"/>
    <n v="717.7"/>
    <n v="13"/>
    <x v="0"/>
    <n v="1645.51"/>
    <n v="2045.53"/>
    <s v="Returning"/>
    <x v="27"/>
    <s v="Cash"/>
    <x v="1"/>
    <x v="10"/>
    <n v="19146.160800000001"/>
    <x v="324"/>
    <x v="1"/>
    <x v="324"/>
  </r>
  <r>
    <n v="1018"/>
    <d v="2023-04-27T00:00:00"/>
    <x v="3"/>
    <s v="David"/>
    <x v="1"/>
    <n v="7629.7"/>
    <n v="17"/>
    <x v="0"/>
    <n v="355.72"/>
    <n v="438.27"/>
    <s v="Returning"/>
    <x v="22"/>
    <s v="Bank Transfer"/>
    <x v="0"/>
    <x v="3"/>
    <n v="7003.5545999999995"/>
    <x v="325"/>
    <x v="0"/>
    <x v="325"/>
  </r>
  <r>
    <n v="1003"/>
    <d v="2023-04-28T00:00:00"/>
    <x v="3"/>
    <s v="Charlie"/>
    <x v="1"/>
    <n v="5991.8"/>
    <n v="27"/>
    <x v="1"/>
    <n v="623.32000000000005"/>
    <n v="853.66"/>
    <s v="Returning"/>
    <x v="17"/>
    <s v="Cash"/>
    <x v="0"/>
    <x v="17"/>
    <n v="22126.867199999997"/>
    <x v="326"/>
    <x v="0"/>
    <x v="326"/>
  </r>
  <r>
    <n v="1009"/>
    <d v="2023-04-28T00:00:00"/>
    <x v="3"/>
    <s v="Alice"/>
    <x v="0"/>
    <n v="1342.95"/>
    <n v="33"/>
    <x v="0"/>
    <n v="2278.9"/>
    <n v="2626.9"/>
    <s v="New"/>
    <x v="0"/>
    <s v="Credit Card"/>
    <x v="0"/>
    <x v="13"/>
    <n v="82353.314999999988"/>
    <x v="327"/>
    <x v="0"/>
    <x v="327"/>
  </r>
  <r>
    <n v="1036"/>
    <d v="2023-04-28T00:00:00"/>
    <x v="3"/>
    <s v="Charlie"/>
    <x v="2"/>
    <n v="7739.11"/>
    <n v="25"/>
    <x v="1"/>
    <n v="4037.73"/>
    <n v="4446.45"/>
    <s v="Returning"/>
    <x v="26"/>
    <s v="Bank Transfer"/>
    <x v="0"/>
    <x v="14"/>
    <n v="101156.7375"/>
    <x v="328"/>
    <x v="0"/>
    <x v="328"/>
  </r>
  <r>
    <n v="1023"/>
    <d v="2023-04-28T00:00:00"/>
    <x v="3"/>
    <s v="Charlie"/>
    <x v="0"/>
    <n v="9850.1"/>
    <n v="5"/>
    <x v="2"/>
    <n v="2311.25"/>
    <n v="2482.34"/>
    <s v="Returning"/>
    <x v="23"/>
    <s v="Credit Card"/>
    <x v="1"/>
    <x v="1"/>
    <n v="9681.1260000000002"/>
    <x v="329"/>
    <x v="1"/>
    <x v="329"/>
  </r>
  <r>
    <n v="1093"/>
    <d v="2023-04-29T00:00:00"/>
    <x v="3"/>
    <s v="Alice"/>
    <x v="0"/>
    <n v="7353.72"/>
    <n v="34"/>
    <x v="3"/>
    <n v="4201.1099999999997"/>
    <n v="4436.5"/>
    <s v="New"/>
    <x v="0"/>
    <s v="Cash"/>
    <x v="0"/>
    <x v="13"/>
    <n v="143298.95000000001"/>
    <x v="330"/>
    <x v="0"/>
    <x v="330"/>
  </r>
  <r>
    <n v="1056"/>
    <d v="2023-04-29T00:00:00"/>
    <x v="3"/>
    <s v="Charlie"/>
    <x v="0"/>
    <n v="8274.5400000000009"/>
    <n v="10"/>
    <x v="0"/>
    <n v="536.80999999999995"/>
    <n v="839.92"/>
    <s v="Returning"/>
    <x v="20"/>
    <s v="Bank Transfer"/>
    <x v="0"/>
    <x v="1"/>
    <n v="7139.3199999999988"/>
    <x v="331"/>
    <x v="0"/>
    <x v="331"/>
  </r>
  <r>
    <n v="1051"/>
    <d v="2023-04-30T00:00:00"/>
    <x v="3"/>
    <s v="Bob"/>
    <x v="2"/>
    <n v="5571.8"/>
    <n v="3"/>
    <x v="3"/>
    <n v="1000.18"/>
    <n v="1023.64"/>
    <s v="Returning"/>
    <x v="17"/>
    <s v="Credit Card"/>
    <x v="0"/>
    <x v="18"/>
    <n v="2948.0832"/>
    <x v="332"/>
    <x v="1"/>
    <x v="332"/>
  </r>
  <r>
    <n v="1032"/>
    <d v="2023-04-30T00:00:00"/>
    <x v="3"/>
    <s v="Alice"/>
    <x v="2"/>
    <n v="4241.51"/>
    <n v="18"/>
    <x v="2"/>
    <n v="2466.1799999999998"/>
    <n v="2483.87"/>
    <s v="Returning"/>
    <x v="19"/>
    <s v="Cash"/>
    <x v="0"/>
    <x v="16"/>
    <n v="41132.887200000005"/>
    <x v="333"/>
    <x v="1"/>
    <x v="333"/>
  </r>
  <r>
    <n v="1076"/>
    <d v="2023-04-30T00:00:00"/>
    <x v="3"/>
    <s v="Eve"/>
    <x v="2"/>
    <n v="3279.51"/>
    <n v="32"/>
    <x v="0"/>
    <n v="4337.82"/>
    <n v="4460.71"/>
    <s v="Returning"/>
    <x v="13"/>
    <s v="Cash"/>
    <x v="1"/>
    <x v="11"/>
    <n v="99919.903999999995"/>
    <x v="334"/>
    <x v="1"/>
    <x v="334"/>
  </r>
  <r>
    <n v="1006"/>
    <d v="2023-04-30T00:00:00"/>
    <x v="3"/>
    <s v="Charlie"/>
    <x v="0"/>
    <n v="6233.31"/>
    <n v="19"/>
    <x v="0"/>
    <n v="2962.41"/>
    <n v="3218.8999999999901"/>
    <s v="New"/>
    <x v="14"/>
    <s v="Cash"/>
    <x v="1"/>
    <x v="1"/>
    <n v="43422.960999999865"/>
    <x v="335"/>
    <x v="1"/>
    <x v="335"/>
  </r>
  <r>
    <n v="1051"/>
    <d v="2023-05-02T00:00:00"/>
    <x v="4"/>
    <s v="Alice"/>
    <x v="0"/>
    <n v="6833.11"/>
    <n v="34"/>
    <x v="1"/>
    <n v="3764.14"/>
    <n v="4100.3999999999996"/>
    <s v="Returning"/>
    <x v="0"/>
    <s v="Bank Transfer"/>
    <x v="1"/>
    <x v="13"/>
    <n v="132442.91999999998"/>
    <x v="336"/>
    <x v="0"/>
    <x v="336"/>
  </r>
  <r>
    <n v="1096"/>
    <d v="2023-05-02T00:00:00"/>
    <x v="4"/>
    <s v="Alice"/>
    <x v="3"/>
    <n v="4649.88"/>
    <n v="32"/>
    <x v="1"/>
    <n v="991.63"/>
    <n v="1065.55"/>
    <s v="Returning"/>
    <x v="23"/>
    <s v="Bank Transfer"/>
    <x v="1"/>
    <x v="9"/>
    <n v="26596.128000000001"/>
    <x v="337"/>
    <x v="1"/>
    <x v="337"/>
  </r>
  <r>
    <n v="1036"/>
    <d v="2023-05-02T00:00:00"/>
    <x v="4"/>
    <s v="David"/>
    <x v="0"/>
    <n v="6650.51"/>
    <n v="42"/>
    <x v="1"/>
    <n v="4292.63"/>
    <n v="4387.99"/>
    <s v="New"/>
    <x v="9"/>
    <s v="Credit Card"/>
    <x v="1"/>
    <x v="19"/>
    <n v="171394.88939999999"/>
    <x v="338"/>
    <x v="1"/>
    <x v="338"/>
  </r>
  <r>
    <n v="1015"/>
    <d v="2023-05-03T00:00:00"/>
    <x v="4"/>
    <s v="David"/>
    <x v="1"/>
    <n v="6699.34"/>
    <n v="30"/>
    <x v="3"/>
    <n v="2680.22"/>
    <n v="3027.9199999999901"/>
    <s v="Returning"/>
    <x v="2"/>
    <s v="Bank Transfer"/>
    <x v="0"/>
    <x v="3"/>
    <n v="68128.199999999764"/>
    <x v="339"/>
    <x v="1"/>
    <x v="339"/>
  </r>
  <r>
    <n v="1042"/>
    <d v="2023-05-03T00:00:00"/>
    <x v="4"/>
    <s v="Alice"/>
    <x v="2"/>
    <n v="7116.78"/>
    <n v="37"/>
    <x v="1"/>
    <n v="502.86"/>
    <n v="687.6"/>
    <s v="Returning"/>
    <x v="5"/>
    <s v="Cash"/>
    <x v="0"/>
    <x v="16"/>
    <n v="20098.548000000003"/>
    <x v="340"/>
    <x v="0"/>
    <x v="340"/>
  </r>
  <r>
    <n v="1061"/>
    <d v="2023-05-03T00:00:00"/>
    <x v="4"/>
    <s v="Bob"/>
    <x v="1"/>
    <n v="7277.56"/>
    <n v="41"/>
    <x v="1"/>
    <n v="2894.18"/>
    <n v="3193.92"/>
    <s v="New"/>
    <x v="27"/>
    <s v="Bank Transfer"/>
    <x v="1"/>
    <x v="8"/>
    <n v="94284.518399999986"/>
    <x v="341"/>
    <x v="1"/>
    <x v="341"/>
  </r>
  <r>
    <n v="1086"/>
    <d v="2023-05-04T00:00:00"/>
    <x v="4"/>
    <s v="Bob"/>
    <x v="2"/>
    <n v="7841.4"/>
    <n v="25"/>
    <x v="3"/>
    <n v="2248.71"/>
    <n v="2626.02"/>
    <s v="New"/>
    <x v="19"/>
    <s v="Bank Transfer"/>
    <x v="0"/>
    <x v="18"/>
    <n v="60398.46"/>
    <x v="342"/>
    <x v="0"/>
    <x v="342"/>
  </r>
  <r>
    <n v="1062"/>
    <d v="2023-05-05T00:00:00"/>
    <x v="4"/>
    <s v="Eve"/>
    <x v="1"/>
    <n v="594.79"/>
    <n v="26"/>
    <x v="0"/>
    <n v="992.17"/>
    <n v="1263.49"/>
    <s v="Returning"/>
    <x v="2"/>
    <s v="Bank Transfer"/>
    <x v="1"/>
    <x v="2"/>
    <n v="24638.055"/>
    <x v="343"/>
    <x v="1"/>
    <x v="343"/>
  </r>
  <r>
    <n v="1056"/>
    <d v="2023-05-07T00:00:00"/>
    <x v="4"/>
    <s v="David"/>
    <x v="3"/>
    <n v="7611.88"/>
    <n v="28"/>
    <x v="0"/>
    <n v="1566.03"/>
    <n v="1576.34"/>
    <s v="Returning"/>
    <x v="3"/>
    <s v="Bank Transfer"/>
    <x v="0"/>
    <x v="12"/>
    <n v="35310.016000000003"/>
    <x v="344"/>
    <x v="1"/>
    <x v="344"/>
  </r>
  <r>
    <n v="1073"/>
    <d v="2023-05-07T00:00:00"/>
    <x v="4"/>
    <s v="David"/>
    <x v="0"/>
    <n v="1347.42"/>
    <n v="29"/>
    <x v="0"/>
    <n v="2152.6799999999998"/>
    <n v="2475.9299999999998"/>
    <s v="Returning"/>
    <x v="23"/>
    <s v="Bank Transfer"/>
    <x v="0"/>
    <x v="19"/>
    <n v="56005.536599999999"/>
    <x v="345"/>
    <x v="1"/>
    <x v="345"/>
  </r>
  <r>
    <n v="1093"/>
    <d v="2023-05-08T00:00:00"/>
    <x v="4"/>
    <s v="Bob"/>
    <x v="3"/>
    <n v="5272.85"/>
    <n v="17"/>
    <x v="1"/>
    <n v="727.38"/>
    <n v="764.54"/>
    <s v="Returning"/>
    <x v="15"/>
    <s v="Credit Card"/>
    <x v="1"/>
    <x v="5"/>
    <n v="10787.659399999999"/>
    <x v="346"/>
    <x v="1"/>
    <x v="346"/>
  </r>
  <r>
    <n v="1067"/>
    <d v="2023-05-08T00:00:00"/>
    <x v="4"/>
    <s v="Charlie"/>
    <x v="0"/>
    <n v="2850.74"/>
    <n v="32"/>
    <x v="3"/>
    <n v="2171.79"/>
    <n v="2307.64"/>
    <s v="Returning"/>
    <x v="23"/>
    <s v="Bank Transfer"/>
    <x v="0"/>
    <x v="1"/>
    <n v="57598.6944"/>
    <x v="347"/>
    <x v="1"/>
    <x v="347"/>
  </r>
  <r>
    <n v="1026"/>
    <d v="2023-05-08T00:00:00"/>
    <x v="4"/>
    <s v="Charlie"/>
    <x v="2"/>
    <n v="9519.09"/>
    <n v="20"/>
    <x v="0"/>
    <n v="2985.63"/>
    <n v="3452.14"/>
    <s v="New"/>
    <x v="15"/>
    <s v="Credit Card"/>
    <x v="1"/>
    <x v="14"/>
    <n v="57305.523999999998"/>
    <x v="348"/>
    <x v="1"/>
    <x v="348"/>
  </r>
  <r>
    <n v="1012"/>
    <d v="2023-05-09T00:00:00"/>
    <x v="4"/>
    <s v="David"/>
    <x v="2"/>
    <n v="8070.39"/>
    <n v="13"/>
    <x v="3"/>
    <n v="1311.01"/>
    <n v="1538.79"/>
    <s v="Returning"/>
    <x v="26"/>
    <s v="Bank Transfer"/>
    <x v="1"/>
    <x v="4"/>
    <n v="18203.885699999999"/>
    <x v="349"/>
    <x v="0"/>
    <x v="349"/>
  </r>
  <r>
    <n v="1034"/>
    <d v="2023-05-10T00:00:00"/>
    <x v="4"/>
    <s v="Eve"/>
    <x v="3"/>
    <n v="4892.3599999999997"/>
    <n v="19"/>
    <x v="0"/>
    <n v="1922.21"/>
    <n v="2180.83"/>
    <s v="Returning"/>
    <x v="15"/>
    <s v="Credit Card"/>
    <x v="1"/>
    <x v="7"/>
    <n v="34391.689099999996"/>
    <x v="350"/>
    <x v="1"/>
    <x v="350"/>
  </r>
  <r>
    <n v="1030"/>
    <d v="2023-05-10T00:00:00"/>
    <x v="4"/>
    <s v="Bob"/>
    <x v="1"/>
    <n v="1273.18"/>
    <n v="43"/>
    <x v="0"/>
    <n v="4696.6400000000003"/>
    <n v="4713.68"/>
    <s v="Returning"/>
    <x v="6"/>
    <s v="Bank Transfer"/>
    <x v="0"/>
    <x v="8"/>
    <n v="154043.06240000002"/>
    <x v="351"/>
    <x v="1"/>
    <x v="351"/>
  </r>
  <r>
    <n v="1063"/>
    <d v="2023-05-10T00:00:00"/>
    <x v="4"/>
    <s v="David"/>
    <x v="3"/>
    <n v="5870.97"/>
    <n v="47"/>
    <x v="2"/>
    <n v="4291.33"/>
    <n v="4658.6400000000003"/>
    <s v="New"/>
    <x v="6"/>
    <s v="Credit Card"/>
    <x v="1"/>
    <x v="12"/>
    <n v="166406.6208"/>
    <x v="352"/>
    <x v="1"/>
    <x v="352"/>
  </r>
  <r>
    <n v="1001"/>
    <d v="2023-05-10T00:00:00"/>
    <x v="4"/>
    <s v="David"/>
    <x v="3"/>
    <n v="3793.91"/>
    <n v="47"/>
    <x v="3"/>
    <n v="4865.33"/>
    <n v="5316.13"/>
    <s v="New"/>
    <x v="22"/>
    <s v="Bank Transfer"/>
    <x v="0"/>
    <x v="12"/>
    <n v="234866.62339999998"/>
    <x v="353"/>
    <x v="0"/>
    <x v="353"/>
  </r>
  <r>
    <n v="1099"/>
    <d v="2023-05-11T00:00:00"/>
    <x v="4"/>
    <s v="Alice"/>
    <x v="1"/>
    <n v="3518.89"/>
    <n v="48"/>
    <x v="3"/>
    <n v="3441.61"/>
    <n v="3693.45"/>
    <s v="Returning"/>
    <x v="28"/>
    <s v="Bank Transfer"/>
    <x v="0"/>
    <x v="15"/>
    <n v="143601.33600000001"/>
    <x v="354"/>
    <x v="1"/>
    <x v="354"/>
  </r>
  <r>
    <n v="1001"/>
    <d v="2023-05-11T00:00:00"/>
    <x v="4"/>
    <s v="Eve"/>
    <x v="3"/>
    <n v="5262.35"/>
    <n v="8"/>
    <x v="0"/>
    <n v="442.11"/>
    <n v="803.87"/>
    <s v="New"/>
    <x v="30"/>
    <s v="Cash"/>
    <x v="1"/>
    <x v="7"/>
    <n v="5273.3872000000001"/>
    <x v="355"/>
    <x v="0"/>
    <x v="355"/>
  </r>
  <r>
    <n v="1051"/>
    <d v="2023-05-11T00:00:00"/>
    <x v="4"/>
    <s v="Bob"/>
    <x v="0"/>
    <n v="5578.37"/>
    <n v="36"/>
    <x v="3"/>
    <n v="4418.95"/>
    <n v="4647.87"/>
    <s v="New"/>
    <x v="17"/>
    <s v="Bank Transfer"/>
    <x v="0"/>
    <x v="10"/>
    <n v="160630.38719999997"/>
    <x v="356"/>
    <x v="0"/>
    <x v="356"/>
  </r>
  <r>
    <n v="1003"/>
    <d v="2023-05-11T00:00:00"/>
    <x v="4"/>
    <s v="Charlie"/>
    <x v="0"/>
    <n v="6760.37"/>
    <n v="26"/>
    <x v="2"/>
    <n v="3418.78"/>
    <n v="3824.1"/>
    <s v="New"/>
    <x v="28"/>
    <s v="Credit Card"/>
    <x v="0"/>
    <x v="1"/>
    <n v="80535.546000000002"/>
    <x v="357"/>
    <x v="1"/>
    <x v="357"/>
  </r>
  <r>
    <n v="1033"/>
    <d v="2023-05-12T00:00:00"/>
    <x v="4"/>
    <s v="Bob"/>
    <x v="0"/>
    <n v="5055.9799999999996"/>
    <n v="16"/>
    <x v="1"/>
    <n v="2915.88"/>
    <n v="3397.36"/>
    <s v="New"/>
    <x v="3"/>
    <s v="Bank Transfer"/>
    <x v="1"/>
    <x v="10"/>
    <n v="43486.208000000006"/>
    <x v="358"/>
    <x v="1"/>
    <x v="358"/>
  </r>
  <r>
    <n v="1038"/>
    <d v="2023-05-12T00:00:00"/>
    <x v="4"/>
    <s v="Bob"/>
    <x v="1"/>
    <n v="8630.74"/>
    <n v="20"/>
    <x v="0"/>
    <n v="2607.31"/>
    <n v="2774.86"/>
    <s v="New"/>
    <x v="10"/>
    <s v="Credit Card"/>
    <x v="1"/>
    <x v="8"/>
    <n v="40512.955999999998"/>
    <x v="359"/>
    <x v="1"/>
    <x v="359"/>
  </r>
  <r>
    <n v="1060"/>
    <d v="2023-05-13T00:00:00"/>
    <x v="4"/>
    <s v="Charlie"/>
    <x v="2"/>
    <n v="5260.83"/>
    <n v="31"/>
    <x v="2"/>
    <n v="3161.4"/>
    <n v="3339.66"/>
    <s v="Returning"/>
    <x v="21"/>
    <s v="Bank Transfer"/>
    <x v="0"/>
    <x v="14"/>
    <n v="101458.87079999999"/>
    <x v="360"/>
    <x v="0"/>
    <x v="360"/>
  </r>
  <r>
    <n v="1039"/>
    <d v="2023-05-13T00:00:00"/>
    <x v="4"/>
    <s v="Eve"/>
    <x v="2"/>
    <n v="4422.4799999999996"/>
    <n v="40"/>
    <x v="1"/>
    <n v="3536.46"/>
    <n v="3945.82"/>
    <s v="New"/>
    <x v="6"/>
    <s v="Bank Transfer"/>
    <x v="0"/>
    <x v="11"/>
    <n v="119952.92800000001"/>
    <x v="361"/>
    <x v="1"/>
    <x v="361"/>
  </r>
  <r>
    <n v="1075"/>
    <d v="2023-05-13T00:00:00"/>
    <x v="4"/>
    <s v="Bob"/>
    <x v="3"/>
    <n v="6653.49"/>
    <n v="36"/>
    <x v="0"/>
    <n v="4337.6099999999997"/>
    <n v="4386.82"/>
    <s v="Returning"/>
    <x v="24"/>
    <s v="Credit Card"/>
    <x v="0"/>
    <x v="5"/>
    <n v="121602.6504"/>
    <x v="362"/>
    <x v="1"/>
    <x v="362"/>
  </r>
  <r>
    <n v="1064"/>
    <d v="2023-05-14T00:00:00"/>
    <x v="4"/>
    <s v="Bob"/>
    <x v="1"/>
    <n v="5356.28"/>
    <n v="8"/>
    <x v="2"/>
    <n v="4271.99"/>
    <n v="4417.79"/>
    <s v="Returning"/>
    <x v="17"/>
    <s v="Cash"/>
    <x v="0"/>
    <x v="8"/>
    <n v="33928.627199999995"/>
    <x v="363"/>
    <x v="1"/>
    <x v="363"/>
  </r>
  <r>
    <n v="1001"/>
    <d v="2023-05-14T00:00:00"/>
    <x v="4"/>
    <s v="Eve"/>
    <x v="1"/>
    <n v="2669.46"/>
    <n v="35"/>
    <x v="2"/>
    <n v="2745.75"/>
    <n v="3244.76"/>
    <s v="New"/>
    <x v="0"/>
    <s v="Bank Transfer"/>
    <x v="0"/>
    <x v="2"/>
    <n v="107888.27"/>
    <x v="364"/>
    <x v="0"/>
    <x v="364"/>
  </r>
  <r>
    <n v="1009"/>
    <d v="2023-05-14T00:00:00"/>
    <x v="4"/>
    <s v="David"/>
    <x v="2"/>
    <n v="2584.91"/>
    <n v="40"/>
    <x v="1"/>
    <n v="2799.71"/>
    <n v="3231.08"/>
    <s v="Returning"/>
    <x v="14"/>
    <s v="Credit Card"/>
    <x v="1"/>
    <x v="4"/>
    <n v="91762.672000000006"/>
    <x v="365"/>
    <x v="1"/>
    <x v="365"/>
  </r>
  <r>
    <n v="1087"/>
    <d v="2023-05-14T00:00:00"/>
    <x v="4"/>
    <s v="Charlie"/>
    <x v="2"/>
    <n v="9472.66"/>
    <n v="10"/>
    <x v="2"/>
    <n v="3988.52"/>
    <n v="4240.2299999999996"/>
    <s v="New"/>
    <x v="0"/>
    <s v="Credit Card"/>
    <x v="0"/>
    <x v="14"/>
    <n v="40282.184999999998"/>
    <x v="366"/>
    <x v="0"/>
    <x v="366"/>
  </r>
  <r>
    <n v="1049"/>
    <d v="2023-05-14T00:00:00"/>
    <x v="4"/>
    <s v="Eve"/>
    <x v="1"/>
    <n v="9298.48"/>
    <n v="22"/>
    <x v="2"/>
    <n v="4573.6899999999996"/>
    <n v="4820.2999999999902"/>
    <s v="New"/>
    <x v="17"/>
    <s v="Cash"/>
    <x v="0"/>
    <x v="2"/>
    <n v="101804.73599999979"/>
    <x v="367"/>
    <x v="0"/>
    <x v="367"/>
  </r>
  <r>
    <n v="1062"/>
    <d v="2023-05-16T00:00:00"/>
    <x v="4"/>
    <s v="Charlie"/>
    <x v="0"/>
    <n v="8495.6200000000008"/>
    <n v="46"/>
    <x v="1"/>
    <n v="159.32"/>
    <n v="303.36"/>
    <s v="New"/>
    <x v="11"/>
    <s v="Cash"/>
    <x v="1"/>
    <x v="1"/>
    <n v="13535.923200000001"/>
    <x v="368"/>
    <x v="0"/>
    <x v="368"/>
  </r>
  <r>
    <n v="1049"/>
    <d v="2023-05-17T00:00:00"/>
    <x v="4"/>
    <s v="Alice"/>
    <x v="2"/>
    <n v="3741.08"/>
    <n v="1"/>
    <x v="1"/>
    <n v="3290.89"/>
    <n v="3317.75"/>
    <s v="Returning"/>
    <x v="15"/>
    <s v="Bank Transfer"/>
    <x v="0"/>
    <x v="16"/>
    <n v="2753.7325000000001"/>
    <x v="369"/>
    <x v="1"/>
    <x v="369"/>
  </r>
  <r>
    <n v="1053"/>
    <d v="2023-05-17T00:00:00"/>
    <x v="4"/>
    <s v="Bob"/>
    <x v="1"/>
    <n v="7835.09"/>
    <n v="36"/>
    <x v="0"/>
    <n v="4252.17"/>
    <n v="4720.2700000000004"/>
    <s v="New"/>
    <x v="26"/>
    <s v="Cash"/>
    <x v="1"/>
    <x v="8"/>
    <n v="154636.04519999999"/>
    <x v="370"/>
    <x v="0"/>
    <x v="370"/>
  </r>
  <r>
    <n v="1056"/>
    <d v="2023-05-17T00:00:00"/>
    <x v="4"/>
    <s v="David"/>
    <x v="2"/>
    <n v="8374.68"/>
    <n v="47"/>
    <x v="1"/>
    <n v="2461.6999999999998"/>
    <n v="2529.02"/>
    <s v="Returning"/>
    <x v="23"/>
    <s v="Cash"/>
    <x v="1"/>
    <x v="4"/>
    <n v="92713.873200000002"/>
    <x v="371"/>
    <x v="1"/>
    <x v="371"/>
  </r>
  <r>
    <n v="1004"/>
    <d v="2023-05-17T00:00:00"/>
    <x v="4"/>
    <s v="Alice"/>
    <x v="0"/>
    <n v="5198.5600000000004"/>
    <n v="36"/>
    <x v="3"/>
    <n v="3981.2"/>
    <n v="4432.3499999999904"/>
    <s v="New"/>
    <x v="1"/>
    <s v="Cash"/>
    <x v="0"/>
    <x v="13"/>
    <n v="137225.55599999969"/>
    <x v="372"/>
    <x v="1"/>
    <x v="372"/>
  </r>
  <r>
    <n v="1050"/>
    <d v="2023-05-17T00:00:00"/>
    <x v="4"/>
    <s v="Bob"/>
    <x v="0"/>
    <n v="2254.91"/>
    <n v="45"/>
    <x v="1"/>
    <n v="112.35"/>
    <n v="586.17999999999995"/>
    <s v="Returning"/>
    <x v="27"/>
    <s v="Credit Card"/>
    <x v="1"/>
    <x v="10"/>
    <n v="18992.231999999996"/>
    <x v="373"/>
    <x v="0"/>
    <x v="373"/>
  </r>
  <r>
    <n v="1063"/>
    <d v="2023-05-18T00:00:00"/>
    <x v="4"/>
    <s v="Bob"/>
    <x v="2"/>
    <n v="3098.87"/>
    <n v="39"/>
    <x v="3"/>
    <n v="3577.69"/>
    <n v="3931.25"/>
    <s v="Returning"/>
    <x v="5"/>
    <s v="Cash"/>
    <x v="1"/>
    <x v="18"/>
    <n v="121121.8125"/>
    <x v="374"/>
    <x v="1"/>
    <x v="374"/>
  </r>
  <r>
    <n v="1050"/>
    <d v="2023-05-19T00:00:00"/>
    <x v="4"/>
    <s v="Charlie"/>
    <x v="3"/>
    <n v="9744.52"/>
    <n v="35"/>
    <x v="0"/>
    <n v="2158.69"/>
    <n v="2384.38"/>
    <s v="Returning"/>
    <x v="26"/>
    <s v="Bank Transfer"/>
    <x v="1"/>
    <x v="6"/>
    <n v="75942.502999999997"/>
    <x v="375"/>
    <x v="0"/>
    <x v="375"/>
  </r>
  <r>
    <n v="1071"/>
    <d v="2023-05-20T00:00:00"/>
    <x v="4"/>
    <s v="Eve"/>
    <x v="2"/>
    <n v="3003.76"/>
    <n v="6"/>
    <x v="1"/>
    <n v="2831.23"/>
    <n v="3206.98"/>
    <s v="Returning"/>
    <x v="22"/>
    <s v="Bank Transfer"/>
    <x v="1"/>
    <x v="11"/>
    <n v="18087.367199999997"/>
    <x v="376"/>
    <x v="0"/>
    <x v="376"/>
  </r>
  <r>
    <n v="1012"/>
    <d v="2023-05-20T00:00:00"/>
    <x v="4"/>
    <s v="Bob"/>
    <x v="0"/>
    <n v="5371.79"/>
    <n v="16"/>
    <x v="3"/>
    <n v="3466.11"/>
    <n v="3799.67"/>
    <s v="Returning"/>
    <x v="18"/>
    <s v="Cash"/>
    <x v="1"/>
    <x v="10"/>
    <n v="60186.772799999999"/>
    <x v="377"/>
    <x v="0"/>
    <x v="377"/>
  </r>
  <r>
    <n v="1059"/>
    <d v="2023-05-21T00:00:00"/>
    <x v="4"/>
    <s v="Alice"/>
    <x v="0"/>
    <n v="5108.9799999999996"/>
    <n v="37"/>
    <x v="2"/>
    <n v="4146.99"/>
    <n v="4172.3499999999904"/>
    <s v="Returning"/>
    <x v="22"/>
    <s v="Cash"/>
    <x v="1"/>
    <x v="13"/>
    <n v="145114.33299999966"/>
    <x v="378"/>
    <x v="1"/>
    <x v="378"/>
  </r>
  <r>
    <n v="1002"/>
    <d v="2023-05-21T00:00:00"/>
    <x v="4"/>
    <s v="Charlie"/>
    <x v="2"/>
    <n v="7828.25"/>
    <n v="26"/>
    <x v="0"/>
    <n v="2041.42"/>
    <n v="2291.17"/>
    <s v="Returning"/>
    <x v="27"/>
    <s v="Cash"/>
    <x v="0"/>
    <x v="14"/>
    <n v="42890.702400000002"/>
    <x v="379"/>
    <x v="1"/>
    <x v="379"/>
  </r>
  <r>
    <n v="1008"/>
    <d v="2023-05-21T00:00:00"/>
    <x v="4"/>
    <s v="David"/>
    <x v="3"/>
    <n v="5197.84"/>
    <n v="37"/>
    <x v="1"/>
    <n v="1712.43"/>
    <n v="1980.06"/>
    <s v="New"/>
    <x v="12"/>
    <s v="Cash"/>
    <x v="0"/>
    <x v="12"/>
    <n v="54214.042800000003"/>
    <x v="380"/>
    <x v="1"/>
    <x v="380"/>
  </r>
  <r>
    <n v="1035"/>
    <d v="2023-05-22T00:00:00"/>
    <x v="4"/>
    <s v="Alice"/>
    <x v="1"/>
    <n v="3780.22"/>
    <n v="45"/>
    <x v="3"/>
    <n v="4132.79"/>
    <n v="4624.1000000000004"/>
    <s v="New"/>
    <x v="20"/>
    <s v="Credit Card"/>
    <x v="1"/>
    <x v="15"/>
    <n v="176871.82500000001"/>
    <x v="381"/>
    <x v="1"/>
    <x v="381"/>
  </r>
  <r>
    <n v="1049"/>
    <d v="2023-05-22T00:00:00"/>
    <x v="4"/>
    <s v="Bob"/>
    <x v="3"/>
    <n v="4216.17"/>
    <n v="19"/>
    <x v="0"/>
    <n v="3316.97"/>
    <n v="3544.02"/>
    <s v="Returning"/>
    <x v="1"/>
    <s v="Cash"/>
    <x v="0"/>
    <x v="5"/>
    <n v="57909.286800000002"/>
    <x v="382"/>
    <x v="1"/>
    <x v="382"/>
  </r>
  <r>
    <n v="1044"/>
    <d v="2023-05-23T00:00:00"/>
    <x v="4"/>
    <s v="Bob"/>
    <x v="2"/>
    <n v="8552.4699999999993"/>
    <n v="19"/>
    <x v="3"/>
    <n v="2182.75"/>
    <n v="2504.0299999999902"/>
    <s v="New"/>
    <x v="18"/>
    <s v="Bank Transfer"/>
    <x v="0"/>
    <x v="18"/>
    <n v="47100.804299999814"/>
    <x v="383"/>
    <x v="0"/>
    <x v="383"/>
  </r>
  <r>
    <n v="1100"/>
    <d v="2023-05-23T00:00:00"/>
    <x v="4"/>
    <s v="Bob"/>
    <x v="2"/>
    <n v="7667.96"/>
    <n v="29"/>
    <x v="3"/>
    <n v="3559.56"/>
    <n v="3607.15"/>
    <s v="Returning"/>
    <x v="5"/>
    <s v="Cash"/>
    <x v="1"/>
    <x v="18"/>
    <n v="82639.806500000006"/>
    <x v="384"/>
    <x v="1"/>
    <x v="384"/>
  </r>
  <r>
    <n v="1067"/>
    <d v="2023-05-23T00:00:00"/>
    <x v="4"/>
    <s v="Bob"/>
    <x v="0"/>
    <n v="3133.99"/>
    <n v="49"/>
    <x v="1"/>
    <n v="2628.38"/>
    <n v="2644.54"/>
    <s v="Returning"/>
    <x v="16"/>
    <s v="Cash"/>
    <x v="0"/>
    <x v="10"/>
    <n v="115328.38940000001"/>
    <x v="385"/>
    <x v="1"/>
    <x v="385"/>
  </r>
  <r>
    <n v="1019"/>
    <d v="2023-05-24T00:00:00"/>
    <x v="4"/>
    <s v="Eve"/>
    <x v="1"/>
    <n v="1114.9100000000001"/>
    <n v="13"/>
    <x v="3"/>
    <n v="3102.73"/>
    <n v="3202.68"/>
    <s v="New"/>
    <x v="26"/>
    <s v="Cash"/>
    <x v="0"/>
    <x v="2"/>
    <n v="37887.704400000002"/>
    <x v="386"/>
    <x v="1"/>
    <x v="386"/>
  </r>
  <r>
    <n v="1091"/>
    <d v="2023-05-25T00:00:00"/>
    <x v="4"/>
    <s v="Alice"/>
    <x v="0"/>
    <n v="9610.2099999999991"/>
    <n v="24"/>
    <x v="0"/>
    <n v="3639.3"/>
    <n v="3750.63"/>
    <s v="New"/>
    <x v="24"/>
    <s v="Bank Transfer"/>
    <x v="1"/>
    <x v="13"/>
    <n v="69311.642400000012"/>
    <x v="387"/>
    <x v="1"/>
    <x v="387"/>
  </r>
  <r>
    <n v="1005"/>
    <d v="2023-05-25T00:00:00"/>
    <x v="4"/>
    <s v="Eve"/>
    <x v="0"/>
    <n v="833.64"/>
    <n v="2"/>
    <x v="0"/>
    <n v="1392.15"/>
    <n v="1448.54"/>
    <s v="Returning"/>
    <x v="21"/>
    <s v="Bank Transfer"/>
    <x v="1"/>
    <x v="0"/>
    <n v="2839.1383999999998"/>
    <x v="388"/>
    <x v="0"/>
    <x v="388"/>
  </r>
  <r>
    <n v="1092"/>
    <d v="2023-05-25T00:00:00"/>
    <x v="4"/>
    <s v="Bob"/>
    <x v="3"/>
    <n v="9220.94"/>
    <n v="20"/>
    <x v="3"/>
    <n v="668.11"/>
    <n v="803.49"/>
    <s v="New"/>
    <x v="5"/>
    <s v="Bank Transfer"/>
    <x v="0"/>
    <x v="5"/>
    <n v="12695.142"/>
    <x v="389"/>
    <x v="1"/>
    <x v="389"/>
  </r>
  <r>
    <n v="1042"/>
    <d v="2023-05-26T00:00:00"/>
    <x v="4"/>
    <s v="Bob"/>
    <x v="3"/>
    <n v="848.28"/>
    <n v="1"/>
    <x v="2"/>
    <n v="1406.24"/>
    <n v="1535.57"/>
    <s v="New"/>
    <x v="19"/>
    <s v="Credit Card"/>
    <x v="1"/>
    <x v="5"/>
    <n v="1412.7244000000001"/>
    <x v="390"/>
    <x v="0"/>
    <x v="390"/>
  </r>
  <r>
    <n v="1082"/>
    <d v="2023-05-26T00:00:00"/>
    <x v="4"/>
    <s v="David"/>
    <x v="1"/>
    <n v="6994.66"/>
    <n v="2"/>
    <x v="1"/>
    <n v="1349.3"/>
    <n v="1576.69"/>
    <s v="Returning"/>
    <x v="7"/>
    <s v="Credit Card"/>
    <x v="0"/>
    <x v="3"/>
    <n v="2774.9744000000001"/>
    <x v="391"/>
    <x v="0"/>
    <x v="391"/>
  </r>
  <r>
    <n v="1069"/>
    <d v="2023-05-27T00:00:00"/>
    <x v="4"/>
    <s v="Charlie"/>
    <x v="2"/>
    <n v="5760.29"/>
    <n v="44"/>
    <x v="2"/>
    <n v="1084.73"/>
    <n v="1420.9"/>
    <s v="Returning"/>
    <x v="0"/>
    <s v="Credit Card"/>
    <x v="0"/>
    <x v="14"/>
    <n v="59393.62"/>
    <x v="392"/>
    <x v="0"/>
    <x v="392"/>
  </r>
  <r>
    <n v="1003"/>
    <d v="2023-05-27T00:00:00"/>
    <x v="4"/>
    <s v="Eve"/>
    <x v="3"/>
    <n v="5119.8900000000003"/>
    <n v="39"/>
    <x v="0"/>
    <n v="310.95999999999998"/>
    <n v="457.84"/>
    <s v="New"/>
    <x v="11"/>
    <s v="Credit Card"/>
    <x v="0"/>
    <x v="7"/>
    <n v="17320.087199999998"/>
    <x v="393"/>
    <x v="0"/>
    <x v="393"/>
  </r>
  <r>
    <n v="1074"/>
    <d v="2023-05-27T00:00:00"/>
    <x v="4"/>
    <s v="Eve"/>
    <x v="2"/>
    <n v="6710.83"/>
    <n v="2"/>
    <x v="3"/>
    <n v="3173.69"/>
    <n v="3503.11"/>
    <s v="New"/>
    <x v="3"/>
    <s v="Bank Transfer"/>
    <x v="1"/>
    <x v="11"/>
    <n v="5604.9760000000006"/>
    <x v="394"/>
    <x v="1"/>
    <x v="394"/>
  </r>
  <r>
    <n v="1001"/>
    <d v="2023-05-27T00:00:00"/>
    <x v="4"/>
    <s v="Alice"/>
    <x v="1"/>
    <n v="1498.11"/>
    <n v="7"/>
    <x v="2"/>
    <n v="4094.68"/>
    <n v="4576.5"/>
    <s v="New"/>
    <x v="13"/>
    <s v="Cash"/>
    <x v="1"/>
    <x v="15"/>
    <n v="22424.85"/>
    <x v="395"/>
    <x v="1"/>
    <x v="395"/>
  </r>
  <r>
    <n v="1062"/>
    <d v="2023-05-28T00:00:00"/>
    <x v="4"/>
    <s v="Bob"/>
    <x v="1"/>
    <n v="7567.22"/>
    <n v="28"/>
    <x v="2"/>
    <n v="933.16"/>
    <n v="1004.69999999999"/>
    <s v="Returning"/>
    <x v="30"/>
    <s v="Bank Transfer"/>
    <x v="0"/>
    <x v="8"/>
    <n v="23067.911999999771"/>
    <x v="396"/>
    <x v="1"/>
    <x v="396"/>
  </r>
  <r>
    <n v="1050"/>
    <d v="2023-05-28T00:00:00"/>
    <x v="4"/>
    <s v="Alice"/>
    <x v="0"/>
    <n v="8086.27"/>
    <n v="6"/>
    <x v="1"/>
    <n v="3763.26"/>
    <n v="4102.72"/>
    <s v="New"/>
    <x v="16"/>
    <s v="Credit Card"/>
    <x v="1"/>
    <x v="13"/>
    <n v="21908.524800000003"/>
    <x v="397"/>
    <x v="1"/>
    <x v="397"/>
  </r>
  <r>
    <n v="1017"/>
    <d v="2023-05-28T00:00:00"/>
    <x v="4"/>
    <s v="David"/>
    <x v="3"/>
    <n v="2222.62"/>
    <n v="35"/>
    <x v="2"/>
    <n v="4867.6400000000003"/>
    <n v="5287.05"/>
    <s v="Returning"/>
    <x v="27"/>
    <s v="Credit Card"/>
    <x v="0"/>
    <x v="12"/>
    <n v="133233.66"/>
    <x v="398"/>
    <x v="1"/>
    <x v="398"/>
  </r>
  <r>
    <n v="1019"/>
    <d v="2023-05-28T00:00:00"/>
    <x v="4"/>
    <s v="Alice"/>
    <x v="3"/>
    <n v="6917.45"/>
    <n v="28"/>
    <x v="1"/>
    <n v="3907.86"/>
    <n v="4205.37"/>
    <s v="New"/>
    <x v="26"/>
    <s v="Credit Card"/>
    <x v="0"/>
    <x v="9"/>
    <n v="107152.8276"/>
    <x v="399"/>
    <x v="1"/>
    <x v="399"/>
  </r>
  <r>
    <n v="1006"/>
    <d v="2023-05-28T00:00:00"/>
    <x v="4"/>
    <s v="Bob"/>
    <x v="0"/>
    <n v="8109.33"/>
    <n v="11"/>
    <x v="3"/>
    <n v="4562.58"/>
    <n v="4925.17"/>
    <s v="New"/>
    <x v="24"/>
    <s v="Cash"/>
    <x v="1"/>
    <x v="10"/>
    <n v="41716.189899999998"/>
    <x v="400"/>
    <x v="1"/>
    <x v="400"/>
  </r>
  <r>
    <n v="1055"/>
    <d v="2023-05-29T00:00:00"/>
    <x v="4"/>
    <s v="Eve"/>
    <x v="0"/>
    <n v="4153.18"/>
    <n v="40"/>
    <x v="1"/>
    <n v="959.73"/>
    <n v="1111.4100000000001"/>
    <s v="New"/>
    <x v="24"/>
    <s v="Bank Transfer"/>
    <x v="0"/>
    <x v="0"/>
    <n v="34231.428000000007"/>
    <x v="401"/>
    <x v="1"/>
    <x v="401"/>
  </r>
  <r>
    <n v="1070"/>
    <d v="2023-05-29T00:00:00"/>
    <x v="4"/>
    <s v="Charlie"/>
    <x v="1"/>
    <n v="1108.74"/>
    <n v="14"/>
    <x v="1"/>
    <n v="3796.79"/>
    <n v="3947.5"/>
    <s v="Returning"/>
    <x v="6"/>
    <s v="Bank Transfer"/>
    <x v="0"/>
    <x v="17"/>
    <n v="42001.4"/>
    <x v="402"/>
    <x v="1"/>
    <x v="402"/>
  </r>
  <r>
    <n v="1069"/>
    <d v="2023-05-29T00:00:00"/>
    <x v="4"/>
    <s v="Alice"/>
    <x v="0"/>
    <n v="4494.8"/>
    <n v="30"/>
    <x v="2"/>
    <n v="300.01"/>
    <n v="477.67999999999898"/>
    <s v="New"/>
    <x v="16"/>
    <s v="Bank Transfer"/>
    <x v="1"/>
    <x v="13"/>
    <n v="12754.055999999973"/>
    <x v="403"/>
    <x v="0"/>
    <x v="403"/>
  </r>
  <r>
    <n v="1002"/>
    <d v="2023-05-30T00:00:00"/>
    <x v="4"/>
    <s v="David"/>
    <x v="0"/>
    <n v="6810.35"/>
    <n v="17"/>
    <x v="1"/>
    <n v="4024.76"/>
    <n v="4420.1499999999996"/>
    <s v="Returning"/>
    <x v="17"/>
    <s v="Cash"/>
    <x v="0"/>
    <x v="19"/>
    <n v="72136.847999999984"/>
    <x v="404"/>
    <x v="0"/>
    <x v="404"/>
  </r>
  <r>
    <n v="1040"/>
    <d v="2023-05-30T00:00:00"/>
    <x v="4"/>
    <s v="Alice"/>
    <x v="1"/>
    <n v="4284.03"/>
    <n v="47"/>
    <x v="0"/>
    <n v="1656.82"/>
    <n v="1750.3799999999901"/>
    <s v="New"/>
    <x v="5"/>
    <s v="Credit Card"/>
    <x v="0"/>
    <x v="15"/>
    <n v="64991.60939999963"/>
    <x v="405"/>
    <x v="1"/>
    <x v="405"/>
  </r>
  <r>
    <n v="1002"/>
    <d v="2023-05-30T00:00:00"/>
    <x v="4"/>
    <s v="Eve"/>
    <x v="0"/>
    <n v="3737.17"/>
    <n v="44"/>
    <x v="1"/>
    <n v="1393.58"/>
    <n v="1533.09"/>
    <s v="Returning"/>
    <x v="6"/>
    <s v="Credit Card"/>
    <x v="1"/>
    <x v="0"/>
    <n v="51266.529600000002"/>
    <x v="406"/>
    <x v="1"/>
    <x v="406"/>
  </r>
  <r>
    <n v="1064"/>
    <d v="2023-05-31T00:00:00"/>
    <x v="4"/>
    <s v="David"/>
    <x v="1"/>
    <n v="2579.63"/>
    <n v="8"/>
    <x v="0"/>
    <n v="816.54"/>
    <n v="1191.9000000000001"/>
    <s v="New"/>
    <x v="11"/>
    <s v="Cash"/>
    <x v="1"/>
    <x v="3"/>
    <n v="9249.1440000000002"/>
    <x v="407"/>
    <x v="0"/>
    <x v="407"/>
  </r>
  <r>
    <n v="1022"/>
    <d v="2023-06-01T00:00:00"/>
    <x v="5"/>
    <s v="David"/>
    <x v="3"/>
    <n v="8913.1299999999992"/>
    <n v="9"/>
    <x v="2"/>
    <n v="2263.65"/>
    <n v="2558.9499999999998"/>
    <s v="New"/>
    <x v="11"/>
    <s v="Cash"/>
    <x v="0"/>
    <x v="12"/>
    <n v="22339.633499999996"/>
    <x v="408"/>
    <x v="0"/>
    <x v="408"/>
  </r>
  <r>
    <n v="1019"/>
    <d v="2023-06-01T00:00:00"/>
    <x v="5"/>
    <s v="Bob"/>
    <x v="3"/>
    <n v="3109.03"/>
    <n v="38"/>
    <x v="0"/>
    <n v="3637.25"/>
    <n v="4096.96"/>
    <s v="Returning"/>
    <x v="26"/>
    <s v="Bank Transfer"/>
    <x v="0"/>
    <x v="5"/>
    <n v="141672.8768"/>
    <x v="409"/>
    <x v="0"/>
    <x v="409"/>
  </r>
  <r>
    <n v="1099"/>
    <d v="2023-06-01T00:00:00"/>
    <x v="5"/>
    <s v="Alice"/>
    <x v="1"/>
    <n v="2496.02"/>
    <n v="2"/>
    <x v="2"/>
    <n v="2038.4"/>
    <n v="2073.3200000000002"/>
    <s v="New"/>
    <x v="25"/>
    <s v="Cash"/>
    <x v="1"/>
    <x v="15"/>
    <n v="3483.1776"/>
    <x v="410"/>
    <x v="1"/>
    <x v="410"/>
  </r>
  <r>
    <n v="1050"/>
    <d v="2023-06-01T00:00:00"/>
    <x v="5"/>
    <s v="Bob"/>
    <x v="1"/>
    <n v="5105.78"/>
    <n v="23"/>
    <x v="1"/>
    <n v="3756.06"/>
    <n v="4255.7299999999996"/>
    <s v="Returning"/>
    <x v="17"/>
    <s v="Cash"/>
    <x v="0"/>
    <x v="8"/>
    <n v="93966.518399999986"/>
    <x v="411"/>
    <x v="0"/>
    <x v="411"/>
  </r>
  <r>
    <n v="1013"/>
    <d v="2023-06-01T00:00:00"/>
    <x v="5"/>
    <s v="Charlie"/>
    <x v="3"/>
    <n v="2985.46"/>
    <n v="16"/>
    <x v="1"/>
    <n v="1222.1500000000001"/>
    <n v="1284.3599999999999"/>
    <s v="Returning"/>
    <x v="11"/>
    <s v="Credit Card"/>
    <x v="1"/>
    <x v="6"/>
    <n v="19933.267199999998"/>
    <x v="412"/>
    <x v="0"/>
    <x v="412"/>
  </r>
  <r>
    <n v="1086"/>
    <d v="2023-06-02T00:00:00"/>
    <x v="5"/>
    <s v="Bob"/>
    <x v="3"/>
    <n v="2495.5700000000002"/>
    <n v="3"/>
    <x v="2"/>
    <n v="1595.35"/>
    <n v="1625.70999999999"/>
    <s v="New"/>
    <x v="10"/>
    <s v="Cash"/>
    <x v="0"/>
    <x v="5"/>
    <n v="3560.3048999999783"/>
    <x v="413"/>
    <x v="1"/>
    <x v="413"/>
  </r>
  <r>
    <n v="1057"/>
    <d v="2023-06-02T00:00:00"/>
    <x v="5"/>
    <s v="Bob"/>
    <x v="1"/>
    <n v="9653.65"/>
    <n v="12"/>
    <x v="2"/>
    <n v="1878.3"/>
    <n v="2087.4499999999998"/>
    <s v="New"/>
    <x v="0"/>
    <s v="Bank Transfer"/>
    <x v="1"/>
    <x v="8"/>
    <n v="23796.929999999997"/>
    <x v="414"/>
    <x v="0"/>
    <x v="414"/>
  </r>
  <r>
    <n v="1024"/>
    <d v="2023-06-02T00:00:00"/>
    <x v="5"/>
    <s v="Alice"/>
    <x v="2"/>
    <n v="1799.77"/>
    <n v="2"/>
    <x v="1"/>
    <n v="3604.93"/>
    <n v="3830.71"/>
    <s v="Returning"/>
    <x v="7"/>
    <s v="Credit Card"/>
    <x v="0"/>
    <x v="16"/>
    <n v="6742.0496000000003"/>
    <x v="415"/>
    <x v="1"/>
    <x v="415"/>
  </r>
  <r>
    <n v="1059"/>
    <d v="2023-06-02T00:00:00"/>
    <x v="5"/>
    <s v="Bob"/>
    <x v="2"/>
    <n v="279.43"/>
    <n v="47"/>
    <x v="1"/>
    <n v="287.17"/>
    <n v="657.44"/>
    <s v="Returning"/>
    <x v="1"/>
    <s v="Credit Card"/>
    <x v="1"/>
    <x v="18"/>
    <n v="26573.724800000004"/>
    <x v="416"/>
    <x v="0"/>
    <x v="416"/>
  </r>
  <r>
    <n v="1057"/>
    <d v="2023-06-02T00:00:00"/>
    <x v="5"/>
    <s v="Eve"/>
    <x v="3"/>
    <n v="2046.87"/>
    <n v="22"/>
    <x v="3"/>
    <n v="3462.61"/>
    <n v="3672.89"/>
    <s v="Returning"/>
    <x v="10"/>
    <s v="Credit Card"/>
    <x v="0"/>
    <x v="7"/>
    <n v="58986.613399999995"/>
    <x v="417"/>
    <x v="1"/>
    <x v="417"/>
  </r>
  <r>
    <n v="1069"/>
    <d v="2023-06-03T00:00:00"/>
    <x v="5"/>
    <s v="David"/>
    <x v="2"/>
    <n v="6581.04"/>
    <n v="42"/>
    <x v="0"/>
    <n v="1434.2"/>
    <n v="1482.88"/>
    <s v="New"/>
    <x v="27"/>
    <s v="Credit Card"/>
    <x v="1"/>
    <x v="4"/>
    <n v="44842.291200000007"/>
    <x v="418"/>
    <x v="1"/>
    <x v="418"/>
  </r>
  <r>
    <n v="1039"/>
    <d v="2023-06-03T00:00:00"/>
    <x v="5"/>
    <s v="Bob"/>
    <x v="1"/>
    <n v="3099.02"/>
    <n v="8"/>
    <x v="0"/>
    <n v="3380.14"/>
    <n v="3609.3399999999901"/>
    <s v="Returning"/>
    <x v="26"/>
    <s v="Credit Card"/>
    <x v="0"/>
    <x v="8"/>
    <n v="26275.995199999928"/>
    <x v="419"/>
    <x v="1"/>
    <x v="419"/>
  </r>
  <r>
    <n v="1090"/>
    <d v="2023-06-03T00:00:00"/>
    <x v="5"/>
    <s v="Eve"/>
    <x v="0"/>
    <n v="2132.8000000000002"/>
    <n v="41"/>
    <x v="1"/>
    <n v="2055.4899999999998"/>
    <n v="2441.46"/>
    <s v="New"/>
    <x v="6"/>
    <s v="Credit Card"/>
    <x v="0"/>
    <x v="0"/>
    <n v="76075.89360000001"/>
    <x v="420"/>
    <x v="1"/>
    <x v="420"/>
  </r>
  <r>
    <n v="1090"/>
    <d v="2023-06-03T00:00:00"/>
    <x v="5"/>
    <s v="David"/>
    <x v="1"/>
    <n v="6106.64"/>
    <n v="47"/>
    <x v="1"/>
    <n v="85.35"/>
    <n v="360.539999999999"/>
    <s v="New"/>
    <x v="27"/>
    <s v="Cash"/>
    <x v="0"/>
    <x v="3"/>
    <n v="12200.673599999966"/>
    <x v="421"/>
    <x v="0"/>
    <x v="421"/>
  </r>
  <r>
    <n v="1016"/>
    <d v="2023-06-03T00:00:00"/>
    <x v="5"/>
    <s v="David"/>
    <x v="2"/>
    <n v="5848.92"/>
    <n v="46"/>
    <x v="0"/>
    <n v="1023.5"/>
    <n v="1164.4100000000001"/>
    <s v="Returning"/>
    <x v="27"/>
    <s v="Credit Card"/>
    <x v="1"/>
    <x v="4"/>
    <n v="38565.2592"/>
    <x v="422"/>
    <x v="1"/>
    <x v="422"/>
  </r>
  <r>
    <n v="1021"/>
    <d v="2023-06-04T00:00:00"/>
    <x v="5"/>
    <s v="Eve"/>
    <x v="0"/>
    <n v="2265.2800000000002"/>
    <n v="22"/>
    <x v="2"/>
    <n v="1296.44"/>
    <n v="1751.24"/>
    <s v="New"/>
    <x v="23"/>
    <s v="Cash"/>
    <x v="0"/>
    <x v="0"/>
    <n v="30051.278400000003"/>
    <x v="423"/>
    <x v="0"/>
    <x v="423"/>
  </r>
  <r>
    <n v="1096"/>
    <d v="2023-06-04T00:00:00"/>
    <x v="5"/>
    <s v="Bob"/>
    <x v="1"/>
    <n v="9019.51"/>
    <n v="14"/>
    <x v="1"/>
    <n v="2251.9499999999998"/>
    <n v="2626.3199999999902"/>
    <s v="Returning"/>
    <x v="5"/>
    <s v="Credit Card"/>
    <x v="0"/>
    <x v="8"/>
    <n v="29047.099199999895"/>
    <x v="424"/>
    <x v="1"/>
    <x v="424"/>
  </r>
  <r>
    <n v="1082"/>
    <d v="2023-06-05T00:00:00"/>
    <x v="5"/>
    <s v="Charlie"/>
    <x v="3"/>
    <n v="3320.42"/>
    <n v="15"/>
    <x v="0"/>
    <n v="1719.47"/>
    <n v="1832.6"/>
    <s v="Returning"/>
    <x v="7"/>
    <s v="Credit Card"/>
    <x v="0"/>
    <x v="6"/>
    <n v="24190.32"/>
    <x v="425"/>
    <x v="1"/>
    <x v="425"/>
  </r>
  <r>
    <n v="1079"/>
    <d v="2023-06-06T00:00:00"/>
    <x v="5"/>
    <s v="David"/>
    <x v="1"/>
    <n v="1982.07"/>
    <n v="34"/>
    <x v="1"/>
    <n v="1967.96"/>
    <n v="1993.4"/>
    <s v="Returning"/>
    <x v="20"/>
    <s v="Credit Card"/>
    <x v="0"/>
    <x v="3"/>
    <n v="57609.26"/>
    <x v="426"/>
    <x v="1"/>
    <x v="426"/>
  </r>
  <r>
    <n v="1042"/>
    <d v="2023-06-06T00:00:00"/>
    <x v="5"/>
    <s v="Bob"/>
    <x v="0"/>
    <n v="9442.65"/>
    <n v="20"/>
    <x v="3"/>
    <n v="3115.06"/>
    <n v="3565.58"/>
    <s v="Returning"/>
    <x v="13"/>
    <s v="Credit Card"/>
    <x v="1"/>
    <x v="10"/>
    <n v="49918.119999999995"/>
    <x v="427"/>
    <x v="1"/>
    <x v="427"/>
  </r>
  <r>
    <n v="1045"/>
    <d v="2023-06-06T00:00:00"/>
    <x v="5"/>
    <s v="Bob"/>
    <x v="1"/>
    <n v="3284.53"/>
    <n v="15"/>
    <x v="2"/>
    <n v="316.22000000000003"/>
    <n v="799.04"/>
    <s v="New"/>
    <x v="4"/>
    <s v="Bank Transfer"/>
    <x v="0"/>
    <x v="8"/>
    <n v="11985.599999999999"/>
    <x v="428"/>
    <x v="0"/>
    <x v="428"/>
  </r>
  <r>
    <n v="1006"/>
    <d v="2023-06-06T00:00:00"/>
    <x v="5"/>
    <s v="Bob"/>
    <x v="3"/>
    <n v="1044.45"/>
    <n v="21"/>
    <x v="2"/>
    <n v="1701.62"/>
    <n v="2193.2199999999998"/>
    <s v="New"/>
    <x v="23"/>
    <s v="Bank Transfer"/>
    <x v="1"/>
    <x v="5"/>
    <n v="35924.943599999999"/>
    <x v="429"/>
    <x v="0"/>
    <x v="429"/>
  </r>
  <r>
    <n v="1033"/>
    <d v="2023-06-06T00:00:00"/>
    <x v="5"/>
    <s v="Alice"/>
    <x v="3"/>
    <n v="4602.17"/>
    <n v="32"/>
    <x v="3"/>
    <n v="108.99"/>
    <n v="351.6"/>
    <s v="Returning"/>
    <x v="10"/>
    <s v="Credit Card"/>
    <x v="1"/>
    <x v="9"/>
    <n v="8213.3760000000002"/>
    <x v="430"/>
    <x v="0"/>
    <x v="430"/>
  </r>
  <r>
    <n v="1037"/>
    <d v="2023-06-07T00:00:00"/>
    <x v="5"/>
    <s v="Alice"/>
    <x v="1"/>
    <n v="6055.38"/>
    <n v="4"/>
    <x v="3"/>
    <n v="4721.7"/>
    <n v="5017.58"/>
    <s v="New"/>
    <x v="6"/>
    <s v="Cash"/>
    <x v="1"/>
    <x v="15"/>
    <n v="15253.4432"/>
    <x v="431"/>
    <x v="1"/>
    <x v="431"/>
  </r>
  <r>
    <n v="1085"/>
    <d v="2023-06-07T00:00:00"/>
    <x v="5"/>
    <s v="Charlie"/>
    <x v="3"/>
    <n v="2070.02"/>
    <n v="42"/>
    <x v="0"/>
    <n v="2254.11"/>
    <n v="2382.23"/>
    <s v="Returning"/>
    <x v="20"/>
    <s v="Credit Card"/>
    <x v="1"/>
    <x v="6"/>
    <n v="85045.61099999999"/>
    <x v="432"/>
    <x v="1"/>
    <x v="432"/>
  </r>
  <r>
    <n v="1099"/>
    <d v="2023-06-07T00:00:00"/>
    <x v="5"/>
    <s v="Charlie"/>
    <x v="3"/>
    <n v="4346.55"/>
    <n v="31"/>
    <x v="3"/>
    <n v="1974.4"/>
    <n v="2259.5"/>
    <s v="New"/>
    <x v="10"/>
    <s v="Cash"/>
    <x v="1"/>
    <x v="6"/>
    <n v="51132.485000000001"/>
    <x v="433"/>
    <x v="1"/>
    <x v="433"/>
  </r>
  <r>
    <n v="1014"/>
    <d v="2023-06-07T00:00:00"/>
    <x v="5"/>
    <s v="Alice"/>
    <x v="0"/>
    <n v="408.38"/>
    <n v="3"/>
    <x v="2"/>
    <n v="2468.29"/>
    <n v="2723.13"/>
    <s v="Returning"/>
    <x v="19"/>
    <s v="Cash"/>
    <x v="1"/>
    <x v="13"/>
    <n v="7515.8388000000014"/>
    <x v="434"/>
    <x v="0"/>
    <x v="434"/>
  </r>
  <r>
    <n v="1032"/>
    <d v="2023-06-08T00:00:00"/>
    <x v="5"/>
    <s v="Eve"/>
    <x v="2"/>
    <n v="219.82"/>
    <n v="49"/>
    <x v="2"/>
    <n v="4812.41"/>
    <n v="5088"/>
    <s v="Returning"/>
    <x v="26"/>
    <s v="Credit Card"/>
    <x v="0"/>
    <x v="11"/>
    <n v="226873.91999999998"/>
    <x v="435"/>
    <x v="1"/>
    <x v="435"/>
  </r>
  <r>
    <n v="1012"/>
    <d v="2023-06-08T00:00:00"/>
    <x v="5"/>
    <s v="Bob"/>
    <x v="3"/>
    <n v="3608.81"/>
    <n v="19"/>
    <x v="1"/>
    <n v="3457.28"/>
    <n v="3598.72"/>
    <s v="New"/>
    <x v="10"/>
    <s v="Bank Transfer"/>
    <x v="0"/>
    <x v="5"/>
    <n v="49914.246399999996"/>
    <x v="436"/>
    <x v="1"/>
    <x v="436"/>
  </r>
  <r>
    <n v="1057"/>
    <d v="2023-06-08T00:00:00"/>
    <x v="5"/>
    <s v="Charlie"/>
    <x v="3"/>
    <n v="1605.28"/>
    <n v="43"/>
    <x v="1"/>
    <n v="4567.3900000000003"/>
    <n v="4958.78"/>
    <s v="New"/>
    <x v="17"/>
    <s v="Cash"/>
    <x v="1"/>
    <x v="6"/>
    <n v="204698.43839999998"/>
    <x v="437"/>
    <x v="0"/>
    <x v="437"/>
  </r>
  <r>
    <n v="1093"/>
    <d v="2023-06-09T00:00:00"/>
    <x v="5"/>
    <s v="Bob"/>
    <x v="1"/>
    <n v="4391.38"/>
    <n v="38"/>
    <x v="3"/>
    <n v="86.59"/>
    <n v="390.89"/>
    <s v="Returning"/>
    <x v="2"/>
    <s v="Credit Card"/>
    <x v="0"/>
    <x v="8"/>
    <n v="11140.365000000002"/>
    <x v="438"/>
    <x v="0"/>
    <x v="438"/>
  </r>
  <r>
    <n v="1047"/>
    <d v="2023-06-09T00:00:00"/>
    <x v="5"/>
    <s v="David"/>
    <x v="3"/>
    <n v="3746.64"/>
    <n v="18"/>
    <x v="0"/>
    <n v="560.91999999999996"/>
    <n v="1024.31"/>
    <s v="Returning"/>
    <x v="12"/>
    <s v="Cash"/>
    <x v="0"/>
    <x v="12"/>
    <n v="13643.8092"/>
    <x v="439"/>
    <x v="0"/>
    <x v="439"/>
  </r>
  <r>
    <n v="1017"/>
    <d v="2023-06-09T00:00:00"/>
    <x v="5"/>
    <s v="Charlie"/>
    <x v="3"/>
    <n v="2638.98"/>
    <n v="35"/>
    <x v="1"/>
    <n v="4480.63"/>
    <n v="4884.12"/>
    <s v="New"/>
    <x v="17"/>
    <s v="Cash"/>
    <x v="0"/>
    <x v="6"/>
    <n v="164106.43199999997"/>
    <x v="440"/>
    <x v="0"/>
    <x v="440"/>
  </r>
  <r>
    <n v="1054"/>
    <d v="2023-06-10T00:00:00"/>
    <x v="5"/>
    <s v="Bob"/>
    <x v="1"/>
    <n v="7853.66"/>
    <n v="21"/>
    <x v="1"/>
    <n v="4668.1400000000003"/>
    <n v="5040.22"/>
    <s v="New"/>
    <x v="0"/>
    <s v="Bank Transfer"/>
    <x v="0"/>
    <x v="8"/>
    <n v="100552.389"/>
    <x v="441"/>
    <x v="0"/>
    <x v="441"/>
  </r>
  <r>
    <n v="1096"/>
    <d v="2023-06-10T00:00:00"/>
    <x v="5"/>
    <s v="Charlie"/>
    <x v="1"/>
    <n v="2320.5100000000002"/>
    <n v="6"/>
    <x v="1"/>
    <n v="252.62"/>
    <n v="742"/>
    <s v="New"/>
    <x v="23"/>
    <s v="Credit Card"/>
    <x v="1"/>
    <x v="17"/>
    <n v="3472.56"/>
    <x v="442"/>
    <x v="0"/>
    <x v="442"/>
  </r>
  <r>
    <n v="1028"/>
    <d v="2023-06-10T00:00:00"/>
    <x v="5"/>
    <s v="Alice"/>
    <x v="0"/>
    <n v="7987.15"/>
    <n v="2"/>
    <x v="1"/>
    <n v="3146.12"/>
    <n v="3255.5299999999902"/>
    <s v="Returning"/>
    <x v="22"/>
    <s v="Bank Transfer"/>
    <x v="0"/>
    <x v="13"/>
    <n v="6120.3963999999814"/>
    <x v="443"/>
    <x v="1"/>
    <x v="443"/>
  </r>
  <r>
    <n v="1029"/>
    <d v="2023-06-10T00:00:00"/>
    <x v="5"/>
    <s v="Eve"/>
    <x v="3"/>
    <n v="1687.62"/>
    <n v="15"/>
    <x v="0"/>
    <n v="498.27"/>
    <n v="634.16"/>
    <s v="Returning"/>
    <x v="16"/>
    <s v="Credit Card"/>
    <x v="1"/>
    <x v="7"/>
    <n v="8466.0360000000001"/>
    <x v="444"/>
    <x v="0"/>
    <x v="444"/>
  </r>
  <r>
    <n v="1053"/>
    <d v="2023-06-10T00:00:00"/>
    <x v="5"/>
    <s v="Charlie"/>
    <x v="3"/>
    <n v="1554.53"/>
    <n v="39"/>
    <x v="1"/>
    <n v="4643.67"/>
    <n v="4829.5200000000004"/>
    <s v="Returning"/>
    <x v="15"/>
    <s v="Bank Transfer"/>
    <x v="0"/>
    <x v="6"/>
    <n v="156331.5624"/>
    <x v="445"/>
    <x v="1"/>
    <x v="445"/>
  </r>
  <r>
    <n v="1082"/>
    <d v="2023-06-11T00:00:00"/>
    <x v="5"/>
    <s v="Alice"/>
    <x v="0"/>
    <n v="7041.58"/>
    <n v="17"/>
    <x v="1"/>
    <n v="890.31"/>
    <n v="1159.06"/>
    <s v="Returning"/>
    <x v="22"/>
    <s v="Cash"/>
    <x v="1"/>
    <x v="13"/>
    <n v="18521.7788"/>
    <x v="446"/>
    <x v="0"/>
    <x v="446"/>
  </r>
  <r>
    <n v="1085"/>
    <d v="2023-06-11T00:00:00"/>
    <x v="5"/>
    <s v="David"/>
    <x v="3"/>
    <n v="7813.12"/>
    <n v="8"/>
    <x v="3"/>
    <n v="3048.48"/>
    <n v="3198.54"/>
    <s v="Returning"/>
    <x v="11"/>
    <s v="Bank Transfer"/>
    <x v="0"/>
    <x v="12"/>
    <n v="24820.670399999999"/>
    <x v="447"/>
    <x v="0"/>
    <x v="447"/>
  </r>
  <r>
    <n v="1008"/>
    <d v="2023-06-12T00:00:00"/>
    <x v="5"/>
    <s v="Alice"/>
    <x v="3"/>
    <n v="7507.02"/>
    <n v="32"/>
    <x v="3"/>
    <n v="4298.12"/>
    <n v="4446.8999999999996"/>
    <s v="New"/>
    <x v="8"/>
    <s v="Bank Transfer"/>
    <x v="0"/>
    <x v="9"/>
    <n v="128070.71999999999"/>
    <x v="448"/>
    <x v="1"/>
    <x v="448"/>
  </r>
  <r>
    <n v="1078"/>
    <d v="2023-06-12T00:00:00"/>
    <x v="5"/>
    <s v="Charlie"/>
    <x v="1"/>
    <n v="6136"/>
    <n v="29"/>
    <x v="2"/>
    <n v="3177.81"/>
    <n v="3222.65"/>
    <s v="Returning"/>
    <x v="19"/>
    <s v="Credit Card"/>
    <x v="1"/>
    <x v="17"/>
    <n v="85980.302000000011"/>
    <x v="449"/>
    <x v="1"/>
    <x v="449"/>
  </r>
  <r>
    <n v="1097"/>
    <d v="2023-06-13T00:00:00"/>
    <x v="5"/>
    <s v="Charlie"/>
    <x v="3"/>
    <n v="7509.01"/>
    <n v="10"/>
    <x v="1"/>
    <n v="2162.9499999999998"/>
    <n v="2191.1899999999901"/>
    <s v="Returning"/>
    <x v="3"/>
    <s v="Credit Card"/>
    <x v="0"/>
    <x v="6"/>
    <n v="17529.51999999992"/>
    <x v="450"/>
    <x v="1"/>
    <x v="450"/>
  </r>
  <r>
    <n v="1030"/>
    <d v="2023-06-13T00:00:00"/>
    <x v="5"/>
    <s v="Charlie"/>
    <x v="2"/>
    <n v="4478.71"/>
    <n v="5"/>
    <x v="0"/>
    <n v="3932.14"/>
    <n v="4082.7599999999902"/>
    <s v="New"/>
    <x v="12"/>
    <s v="Credit Card"/>
    <x v="0"/>
    <x v="14"/>
    <n v="15106.211999999963"/>
    <x v="451"/>
    <x v="1"/>
    <x v="451"/>
  </r>
  <r>
    <n v="1011"/>
    <d v="2023-06-14T00:00:00"/>
    <x v="5"/>
    <s v="Alice"/>
    <x v="1"/>
    <n v="4531.97"/>
    <n v="38"/>
    <x v="1"/>
    <n v="4456.67"/>
    <n v="4642.46"/>
    <s v="New"/>
    <x v="22"/>
    <s v="Bank Transfer"/>
    <x v="0"/>
    <x v="15"/>
    <n v="165828.67120000001"/>
    <x v="452"/>
    <x v="1"/>
    <x v="452"/>
  </r>
  <r>
    <n v="1008"/>
    <d v="2023-06-14T00:00:00"/>
    <x v="5"/>
    <s v="Eve"/>
    <x v="0"/>
    <n v="1403.98"/>
    <n v="24"/>
    <x v="0"/>
    <n v="1394.17"/>
    <n v="1891.02"/>
    <s v="New"/>
    <x v="5"/>
    <s v="Credit Card"/>
    <x v="0"/>
    <x v="0"/>
    <n v="35853.739199999996"/>
    <x v="453"/>
    <x v="0"/>
    <x v="453"/>
  </r>
  <r>
    <n v="1007"/>
    <d v="2023-06-14T00:00:00"/>
    <x v="5"/>
    <s v="Alice"/>
    <x v="0"/>
    <n v="249.6"/>
    <n v="9"/>
    <x v="0"/>
    <n v="1481.76"/>
    <n v="1668.95"/>
    <s v="Returning"/>
    <x v="7"/>
    <s v="Credit Card"/>
    <x v="1"/>
    <x v="13"/>
    <n v="13218.084000000001"/>
    <x v="454"/>
    <x v="1"/>
    <x v="454"/>
  </r>
  <r>
    <n v="1072"/>
    <d v="2023-06-15T00:00:00"/>
    <x v="5"/>
    <s v="David"/>
    <x v="0"/>
    <n v="6976.49"/>
    <n v="35"/>
    <x v="2"/>
    <n v="4349.3599999999997"/>
    <n v="4645.17"/>
    <s v="Returning"/>
    <x v="30"/>
    <s v="Credit Card"/>
    <x v="1"/>
    <x v="19"/>
    <n v="133316.37900000002"/>
    <x v="455"/>
    <x v="1"/>
    <x v="455"/>
  </r>
  <r>
    <n v="1075"/>
    <d v="2023-06-15T00:00:00"/>
    <x v="5"/>
    <s v="Eve"/>
    <x v="0"/>
    <n v="9736.49"/>
    <n v="26"/>
    <x v="1"/>
    <n v="1749.34"/>
    <n v="1935.25"/>
    <s v="New"/>
    <x v="1"/>
    <s v="Credit Card"/>
    <x v="0"/>
    <x v="0"/>
    <n v="43272.19"/>
    <x v="456"/>
    <x v="1"/>
    <x v="456"/>
  </r>
  <r>
    <n v="1038"/>
    <d v="2023-06-15T00:00:00"/>
    <x v="5"/>
    <s v="Alice"/>
    <x v="2"/>
    <n v="2758.77"/>
    <n v="42"/>
    <x v="3"/>
    <n v="1089.0899999999999"/>
    <n v="1355.44"/>
    <s v="New"/>
    <x v="22"/>
    <s v="Cash"/>
    <x v="1"/>
    <x v="16"/>
    <n v="53512.771199999996"/>
    <x v="457"/>
    <x v="0"/>
    <x v="457"/>
  </r>
  <r>
    <n v="1004"/>
    <d v="2023-06-15T00:00:00"/>
    <x v="5"/>
    <s v="Alice"/>
    <x v="3"/>
    <n v="6277.59"/>
    <n v="13"/>
    <x v="1"/>
    <n v="3087.73"/>
    <n v="3263.96"/>
    <s v="New"/>
    <x v="6"/>
    <s v="Cash"/>
    <x v="1"/>
    <x v="9"/>
    <n v="32247.924800000004"/>
    <x v="458"/>
    <x v="1"/>
    <x v="458"/>
  </r>
  <r>
    <n v="1044"/>
    <d v="2023-06-17T00:00:00"/>
    <x v="5"/>
    <s v="Charlie"/>
    <x v="0"/>
    <n v="2541.38"/>
    <n v="6"/>
    <x v="1"/>
    <n v="2388.9499999999998"/>
    <n v="2742.97"/>
    <s v="Returning"/>
    <x v="2"/>
    <s v="Credit Card"/>
    <x v="1"/>
    <x v="1"/>
    <n v="12343.365"/>
    <x v="459"/>
    <x v="1"/>
    <x v="459"/>
  </r>
  <r>
    <n v="1092"/>
    <d v="2023-06-17T00:00:00"/>
    <x v="5"/>
    <s v="Alice"/>
    <x v="3"/>
    <n v="1632.8"/>
    <n v="47"/>
    <x v="1"/>
    <n v="1447.45"/>
    <n v="1703.02"/>
    <s v="Returning"/>
    <x v="7"/>
    <s v="Bank Transfer"/>
    <x v="1"/>
    <x v="9"/>
    <n v="70436.907200000001"/>
    <x v="460"/>
    <x v="0"/>
    <x v="460"/>
  </r>
  <r>
    <n v="1092"/>
    <d v="2023-06-17T00:00:00"/>
    <x v="5"/>
    <s v="David"/>
    <x v="3"/>
    <n v="862.02"/>
    <n v="21"/>
    <x v="0"/>
    <n v="2792.2"/>
    <n v="3254.5499999999902"/>
    <s v="New"/>
    <x v="21"/>
    <s v="Credit Card"/>
    <x v="1"/>
    <x v="12"/>
    <n v="66978.638999999792"/>
    <x v="461"/>
    <x v="0"/>
    <x v="461"/>
  </r>
  <r>
    <n v="1038"/>
    <d v="2023-06-18T00:00:00"/>
    <x v="5"/>
    <s v="Eve"/>
    <x v="2"/>
    <n v="2792.27"/>
    <n v="24"/>
    <x v="0"/>
    <n v="1543.91"/>
    <n v="1862.88"/>
    <s v="New"/>
    <x v="26"/>
    <s v="Bank Transfer"/>
    <x v="0"/>
    <x v="11"/>
    <n v="40685.299200000001"/>
    <x v="462"/>
    <x v="0"/>
    <x v="462"/>
  </r>
  <r>
    <n v="1002"/>
    <d v="2023-06-19T00:00:00"/>
    <x v="5"/>
    <s v="Eve"/>
    <x v="2"/>
    <n v="1263.76"/>
    <n v="18"/>
    <x v="3"/>
    <n v="117.63"/>
    <n v="576.44000000000005"/>
    <s v="New"/>
    <x v="30"/>
    <s v="Credit Card"/>
    <x v="1"/>
    <x v="11"/>
    <n v="8508.2544000000016"/>
    <x v="463"/>
    <x v="0"/>
    <x v="463"/>
  </r>
  <r>
    <n v="1029"/>
    <d v="2023-06-19T00:00:00"/>
    <x v="5"/>
    <s v="Eve"/>
    <x v="1"/>
    <n v="8064.5"/>
    <n v="27"/>
    <x v="3"/>
    <n v="3196.38"/>
    <n v="3596.64"/>
    <s v="New"/>
    <x v="18"/>
    <s v="Cash"/>
    <x v="1"/>
    <x v="2"/>
    <n v="96138.187199999986"/>
    <x v="464"/>
    <x v="0"/>
    <x v="464"/>
  </r>
  <r>
    <n v="1045"/>
    <d v="2023-06-19T00:00:00"/>
    <x v="5"/>
    <s v="David"/>
    <x v="0"/>
    <n v="2768.17"/>
    <n v="36"/>
    <x v="2"/>
    <n v="3835.64"/>
    <n v="4076.77"/>
    <s v="Returning"/>
    <x v="8"/>
    <s v="Credit Card"/>
    <x v="1"/>
    <x v="19"/>
    <n v="132087.348"/>
    <x v="465"/>
    <x v="1"/>
    <x v="465"/>
  </r>
  <r>
    <n v="1058"/>
    <d v="2023-06-20T00:00:00"/>
    <x v="5"/>
    <s v="Eve"/>
    <x v="2"/>
    <n v="2896.54"/>
    <n v="48"/>
    <x v="0"/>
    <n v="2614.48"/>
    <n v="3049.04"/>
    <s v="New"/>
    <x v="8"/>
    <s v="Credit Card"/>
    <x v="1"/>
    <x v="11"/>
    <n v="131718.52799999999"/>
    <x v="466"/>
    <x v="0"/>
    <x v="466"/>
  </r>
  <r>
    <n v="1012"/>
    <d v="2023-06-20T00:00:00"/>
    <x v="5"/>
    <s v="Alice"/>
    <x v="1"/>
    <n v="2019.24"/>
    <n v="47"/>
    <x v="0"/>
    <n v="325.75"/>
    <n v="803.71"/>
    <s v="New"/>
    <x v="7"/>
    <s v="Bank Transfer"/>
    <x v="1"/>
    <x v="15"/>
    <n v="33241.445599999999"/>
    <x v="467"/>
    <x v="0"/>
    <x v="467"/>
  </r>
  <r>
    <n v="1018"/>
    <d v="2023-06-21T00:00:00"/>
    <x v="5"/>
    <s v="Eve"/>
    <x v="0"/>
    <n v="750.38"/>
    <n v="28"/>
    <x v="0"/>
    <n v="1006.14"/>
    <n v="1043.45"/>
    <s v="New"/>
    <x v="20"/>
    <s v="Bank Transfer"/>
    <x v="1"/>
    <x v="0"/>
    <n v="24834.11"/>
    <x v="468"/>
    <x v="1"/>
    <x v="468"/>
  </r>
  <r>
    <n v="1064"/>
    <d v="2023-06-21T00:00:00"/>
    <x v="5"/>
    <s v="Bob"/>
    <x v="2"/>
    <n v="9215.59"/>
    <n v="46"/>
    <x v="2"/>
    <n v="984.53"/>
    <n v="1138.49"/>
    <s v="New"/>
    <x v="17"/>
    <s v="Bank Transfer"/>
    <x v="0"/>
    <x v="18"/>
    <n v="50275.718399999998"/>
    <x v="469"/>
    <x v="0"/>
    <x v="469"/>
  </r>
  <r>
    <n v="1004"/>
    <d v="2023-06-22T00:00:00"/>
    <x v="5"/>
    <s v="Eve"/>
    <x v="1"/>
    <n v="7762.51"/>
    <n v="39"/>
    <x v="2"/>
    <n v="2416.89"/>
    <n v="2778.3999999999901"/>
    <s v="Returning"/>
    <x v="0"/>
    <s v="Cash"/>
    <x v="0"/>
    <x v="2"/>
    <n v="102939.71999999962"/>
    <x v="470"/>
    <x v="0"/>
    <x v="470"/>
  </r>
  <r>
    <n v="1084"/>
    <d v="2023-06-22T00:00:00"/>
    <x v="5"/>
    <s v="Eve"/>
    <x v="0"/>
    <n v="6658.1"/>
    <n v="49"/>
    <x v="1"/>
    <n v="4291.97"/>
    <n v="4645.6400000000003"/>
    <s v="Returning"/>
    <x v="12"/>
    <s v="Credit Card"/>
    <x v="0"/>
    <x v="0"/>
    <n v="168450.90640000001"/>
    <x v="471"/>
    <x v="1"/>
    <x v="471"/>
  </r>
  <r>
    <n v="1063"/>
    <d v="2023-06-22T00:00:00"/>
    <x v="5"/>
    <s v="Bob"/>
    <x v="1"/>
    <n v="5917.1"/>
    <n v="25"/>
    <x v="2"/>
    <n v="3997.1"/>
    <n v="4212.6499999999996"/>
    <s v="New"/>
    <x v="23"/>
    <s v="Cash"/>
    <x v="0"/>
    <x v="8"/>
    <n v="82146.674999999988"/>
    <x v="472"/>
    <x v="1"/>
    <x v="472"/>
  </r>
  <r>
    <n v="1079"/>
    <d v="2023-06-22T00:00:00"/>
    <x v="5"/>
    <s v="Eve"/>
    <x v="3"/>
    <n v="2265.23"/>
    <n v="49"/>
    <x v="0"/>
    <n v="437.59"/>
    <n v="675.54"/>
    <s v="Returning"/>
    <x v="8"/>
    <s v="Cash"/>
    <x v="0"/>
    <x v="7"/>
    <n v="29791.313999999998"/>
    <x v="473"/>
    <x v="0"/>
    <x v="473"/>
  </r>
  <r>
    <n v="1054"/>
    <d v="2023-06-23T00:00:00"/>
    <x v="5"/>
    <s v="David"/>
    <x v="2"/>
    <n v="4291.0200000000004"/>
    <n v="27"/>
    <x v="2"/>
    <n v="1456.09"/>
    <n v="1510.4299999999901"/>
    <s v="Returning"/>
    <x v="15"/>
    <s v="Cash"/>
    <x v="1"/>
    <x v="4"/>
    <n v="33848.736299999779"/>
    <x v="474"/>
    <x v="1"/>
    <x v="474"/>
  </r>
  <r>
    <n v="1067"/>
    <d v="2023-06-23T00:00:00"/>
    <x v="5"/>
    <s v="Bob"/>
    <x v="0"/>
    <n v="914.5"/>
    <n v="11"/>
    <x v="1"/>
    <n v="3435.68"/>
    <n v="3552.6299999999901"/>
    <s v="New"/>
    <x v="10"/>
    <s v="Cash"/>
    <x v="1"/>
    <x v="10"/>
    <n v="28527.618899999918"/>
    <x v="475"/>
    <x v="1"/>
    <x v="475"/>
  </r>
  <r>
    <n v="1024"/>
    <d v="2023-06-24T00:00:00"/>
    <x v="5"/>
    <s v="Alice"/>
    <x v="0"/>
    <n v="8292.31"/>
    <n v="43"/>
    <x v="0"/>
    <n v="3105.24"/>
    <n v="3246.33"/>
    <s v="New"/>
    <x v="2"/>
    <s v="Cash"/>
    <x v="0"/>
    <x v="13"/>
    <n v="104694.1425"/>
    <x v="476"/>
    <x v="1"/>
    <x v="476"/>
  </r>
  <r>
    <n v="1066"/>
    <d v="2023-06-24T00:00:00"/>
    <x v="5"/>
    <s v="Bob"/>
    <x v="2"/>
    <n v="5851.41"/>
    <n v="13"/>
    <x v="1"/>
    <n v="4133.92"/>
    <n v="4358.37"/>
    <s v="New"/>
    <x v="29"/>
    <s v="Cash"/>
    <x v="1"/>
    <x v="18"/>
    <n v="49293.164700000001"/>
    <x v="477"/>
    <x v="1"/>
    <x v="477"/>
  </r>
  <r>
    <n v="1021"/>
    <d v="2023-06-24T00:00:00"/>
    <x v="5"/>
    <s v="Alice"/>
    <x v="2"/>
    <n v="9422.75"/>
    <n v="24"/>
    <x v="2"/>
    <n v="4916.17"/>
    <n v="5309.32"/>
    <s v="Returning"/>
    <x v="28"/>
    <s v="Credit Card"/>
    <x v="0"/>
    <x v="16"/>
    <n v="103213.1808"/>
    <x v="478"/>
    <x v="1"/>
    <x v="478"/>
  </r>
  <r>
    <n v="1016"/>
    <d v="2023-06-25T00:00:00"/>
    <x v="5"/>
    <s v="Alice"/>
    <x v="2"/>
    <n v="5401.98"/>
    <n v="2"/>
    <x v="2"/>
    <n v="3144.82"/>
    <n v="3480.58"/>
    <s v="Returning"/>
    <x v="7"/>
    <s v="Cash"/>
    <x v="1"/>
    <x v="16"/>
    <n v="6125.8207999999995"/>
    <x v="479"/>
    <x v="1"/>
    <x v="479"/>
  </r>
  <r>
    <n v="1045"/>
    <d v="2023-06-25T00:00:00"/>
    <x v="5"/>
    <s v="Eve"/>
    <x v="1"/>
    <n v="1489.21"/>
    <n v="9"/>
    <x v="0"/>
    <n v="4920.34"/>
    <n v="5129.1899999999996"/>
    <s v="Returning"/>
    <x v="29"/>
    <s v="Credit Card"/>
    <x v="0"/>
    <x v="2"/>
    <n v="40161.55769999999"/>
    <x v="480"/>
    <x v="1"/>
    <x v="480"/>
  </r>
  <r>
    <n v="1031"/>
    <d v="2023-06-25T00:00:00"/>
    <x v="5"/>
    <s v="Alice"/>
    <x v="2"/>
    <n v="1781.82"/>
    <n v="10"/>
    <x v="2"/>
    <n v="566.86"/>
    <n v="818.14"/>
    <s v="Returning"/>
    <x v="2"/>
    <s v="Credit Card"/>
    <x v="1"/>
    <x v="16"/>
    <n v="6136.05"/>
    <x v="481"/>
    <x v="0"/>
    <x v="481"/>
  </r>
  <r>
    <n v="1071"/>
    <d v="2023-06-26T00:00:00"/>
    <x v="5"/>
    <s v="David"/>
    <x v="0"/>
    <n v="6664.17"/>
    <n v="35"/>
    <x v="0"/>
    <n v="295.82"/>
    <n v="684.67"/>
    <s v="New"/>
    <x v="11"/>
    <s v="Credit Card"/>
    <x v="0"/>
    <x v="19"/>
    <n v="23244.546499999997"/>
    <x v="482"/>
    <x v="0"/>
    <x v="482"/>
  </r>
  <r>
    <n v="1089"/>
    <d v="2023-06-26T00:00:00"/>
    <x v="5"/>
    <s v="Eve"/>
    <x v="0"/>
    <n v="9029.2099999999991"/>
    <n v="35"/>
    <x v="1"/>
    <n v="3925.85"/>
    <n v="4082.1099999999901"/>
    <s v="New"/>
    <x v="23"/>
    <s v="Cash"/>
    <x v="0"/>
    <x v="0"/>
    <n v="111441.60299999974"/>
    <x v="483"/>
    <x v="1"/>
    <x v="483"/>
  </r>
  <r>
    <n v="1064"/>
    <d v="2023-06-26T00:00:00"/>
    <x v="5"/>
    <s v="Alice"/>
    <x v="0"/>
    <n v="6201.37"/>
    <n v="21"/>
    <x v="0"/>
    <n v="2278.04"/>
    <n v="2598.58"/>
    <s v="Returning"/>
    <x v="21"/>
    <s v="Credit Card"/>
    <x v="1"/>
    <x v="13"/>
    <n v="53478.776400000002"/>
    <x v="484"/>
    <x v="0"/>
    <x v="484"/>
  </r>
  <r>
    <n v="1016"/>
    <d v="2023-06-26T00:00:00"/>
    <x v="5"/>
    <s v="Charlie"/>
    <x v="0"/>
    <n v="9027.56"/>
    <n v="3"/>
    <x v="2"/>
    <n v="3401.87"/>
    <n v="3733.71"/>
    <s v="Returning"/>
    <x v="22"/>
    <s v="Bank Transfer"/>
    <x v="1"/>
    <x v="1"/>
    <n v="10529.0622"/>
    <x v="485"/>
    <x v="0"/>
    <x v="485"/>
  </r>
  <r>
    <n v="1025"/>
    <d v="2023-06-26T00:00:00"/>
    <x v="5"/>
    <s v="David"/>
    <x v="0"/>
    <n v="2457.65"/>
    <n v="47"/>
    <x v="1"/>
    <n v="3861.61"/>
    <n v="3998.91"/>
    <s v="New"/>
    <x v="2"/>
    <s v="Credit Card"/>
    <x v="0"/>
    <x v="19"/>
    <n v="140961.57749999998"/>
    <x v="486"/>
    <x v="1"/>
    <x v="486"/>
  </r>
  <r>
    <n v="1004"/>
    <d v="2023-06-27T00:00:00"/>
    <x v="5"/>
    <s v="Alice"/>
    <x v="2"/>
    <n v="7825.72"/>
    <n v="2"/>
    <x v="2"/>
    <n v="2953.23"/>
    <n v="2977.52"/>
    <s v="Returning"/>
    <x v="16"/>
    <s v="Credit Card"/>
    <x v="1"/>
    <x v="16"/>
    <n v="5299.9856"/>
    <x v="487"/>
    <x v="1"/>
    <x v="487"/>
  </r>
  <r>
    <n v="1080"/>
    <d v="2023-06-27T00:00:00"/>
    <x v="5"/>
    <s v="Eve"/>
    <x v="2"/>
    <n v="5012.96"/>
    <n v="35"/>
    <x v="1"/>
    <n v="900.97"/>
    <n v="1321.18"/>
    <s v="Returning"/>
    <x v="8"/>
    <s v="Cash"/>
    <x v="0"/>
    <x v="11"/>
    <n v="41617.170000000006"/>
    <x v="488"/>
    <x v="0"/>
    <x v="488"/>
  </r>
  <r>
    <n v="1039"/>
    <d v="2023-06-27T00:00:00"/>
    <x v="5"/>
    <s v="Bob"/>
    <x v="3"/>
    <n v="9683.85"/>
    <n v="2"/>
    <x v="2"/>
    <n v="4394.58"/>
    <n v="4545.78"/>
    <s v="Returning"/>
    <x v="3"/>
    <s v="Credit Card"/>
    <x v="1"/>
    <x v="5"/>
    <n v="7273.2479999999996"/>
    <x v="489"/>
    <x v="1"/>
    <x v="489"/>
  </r>
  <r>
    <n v="1021"/>
    <d v="2023-06-27T00:00:00"/>
    <x v="5"/>
    <s v="Charlie"/>
    <x v="0"/>
    <n v="3777.53"/>
    <n v="19"/>
    <x v="2"/>
    <n v="1222.4000000000001"/>
    <n v="1464.71"/>
    <s v="New"/>
    <x v="4"/>
    <s v="Credit Card"/>
    <x v="1"/>
    <x v="1"/>
    <n v="27829.49"/>
    <x v="490"/>
    <x v="0"/>
    <x v="490"/>
  </r>
  <r>
    <n v="1023"/>
    <d v="2023-06-28T00:00:00"/>
    <x v="5"/>
    <s v="Eve"/>
    <x v="3"/>
    <n v="2170.94"/>
    <n v="9"/>
    <x v="0"/>
    <n v="4155.46"/>
    <n v="4273.6000000000004"/>
    <s v="Returning"/>
    <x v="2"/>
    <s v="Cash"/>
    <x v="1"/>
    <x v="7"/>
    <n v="28846.800000000003"/>
    <x v="491"/>
    <x v="1"/>
    <x v="491"/>
  </r>
  <r>
    <n v="1090"/>
    <d v="2023-06-28T00:00:00"/>
    <x v="5"/>
    <s v="Charlie"/>
    <x v="0"/>
    <n v="5976.25"/>
    <n v="41"/>
    <x v="0"/>
    <n v="3736.88"/>
    <n v="3946.77"/>
    <s v="Returning"/>
    <x v="22"/>
    <s v="Credit Card"/>
    <x v="0"/>
    <x v="1"/>
    <n v="152108.51579999999"/>
    <x v="492"/>
    <x v="1"/>
    <x v="492"/>
  </r>
  <r>
    <n v="1059"/>
    <d v="2023-06-28T00:00:00"/>
    <x v="5"/>
    <s v="Bob"/>
    <x v="0"/>
    <n v="2338.64"/>
    <n v="13"/>
    <x v="2"/>
    <n v="1969.78"/>
    <n v="2437.6999999999998"/>
    <s v="New"/>
    <x v="28"/>
    <s v="Credit Card"/>
    <x v="1"/>
    <x v="10"/>
    <n v="25668.981"/>
    <x v="493"/>
    <x v="0"/>
    <x v="493"/>
  </r>
  <r>
    <n v="1004"/>
    <d v="2023-06-28T00:00:00"/>
    <x v="5"/>
    <s v="Bob"/>
    <x v="2"/>
    <n v="8003.1"/>
    <n v="38"/>
    <x v="1"/>
    <n v="4881.63"/>
    <n v="5088.0600000000004"/>
    <s v="Returning"/>
    <x v="25"/>
    <s v="Credit Card"/>
    <x v="1"/>
    <x v="18"/>
    <n v="162410.87520000001"/>
    <x v="494"/>
    <x v="1"/>
    <x v="494"/>
  </r>
  <r>
    <n v="1075"/>
    <d v="2023-06-29T00:00:00"/>
    <x v="5"/>
    <s v="David"/>
    <x v="1"/>
    <n v="4223.3900000000003"/>
    <n v="30"/>
    <x v="1"/>
    <n v="738.06"/>
    <n v="1095.44999999999"/>
    <s v="New"/>
    <x v="0"/>
    <s v="Bank Transfer"/>
    <x v="0"/>
    <x v="3"/>
    <n v="31220.324999999713"/>
    <x v="495"/>
    <x v="0"/>
    <x v="495"/>
  </r>
  <r>
    <n v="1067"/>
    <d v="2023-06-29T00:00:00"/>
    <x v="5"/>
    <s v="Eve"/>
    <x v="1"/>
    <n v="114.59"/>
    <n v="48"/>
    <x v="3"/>
    <n v="4319.32"/>
    <n v="4625.5599999999904"/>
    <s v="Returning"/>
    <x v="8"/>
    <s v="Bank Transfer"/>
    <x v="0"/>
    <x v="2"/>
    <n v="199824.1919999996"/>
    <x v="496"/>
    <x v="1"/>
    <x v="496"/>
  </r>
  <r>
    <n v="1086"/>
    <d v="2023-06-30T00:00:00"/>
    <x v="5"/>
    <s v="Bob"/>
    <x v="0"/>
    <n v="8414.0400000000009"/>
    <n v="46"/>
    <x v="0"/>
    <n v="2245.64"/>
    <n v="2260.81"/>
    <s v="New"/>
    <x v="4"/>
    <s v="Cash"/>
    <x v="1"/>
    <x v="10"/>
    <n v="103997.26"/>
    <x v="497"/>
    <x v="0"/>
    <x v="497"/>
  </r>
  <r>
    <n v="1032"/>
    <d v="2023-06-30T00:00:00"/>
    <x v="5"/>
    <s v="Eve"/>
    <x v="0"/>
    <n v="3312.67"/>
    <n v="6"/>
    <x v="0"/>
    <n v="2522.7600000000002"/>
    <n v="2840.14"/>
    <s v="Returning"/>
    <x v="9"/>
    <s v="Credit Card"/>
    <x v="1"/>
    <x v="0"/>
    <n v="15847.981199999998"/>
    <x v="498"/>
    <x v="0"/>
    <x v="498"/>
  </r>
  <r>
    <n v="1065"/>
    <d v="2023-06-30T00:00:00"/>
    <x v="5"/>
    <s v="Eve"/>
    <x v="1"/>
    <n v="8840.86"/>
    <n v="13"/>
    <x v="1"/>
    <n v="1339"/>
    <n v="1441.88"/>
    <s v="Returning"/>
    <x v="24"/>
    <s v="Credit Card"/>
    <x v="1"/>
    <x v="2"/>
    <n v="14433.218800000002"/>
    <x v="499"/>
    <x v="1"/>
    <x v="499"/>
  </r>
  <r>
    <n v="1090"/>
    <d v="2023-07-01T00:00:00"/>
    <x v="6"/>
    <s v="David"/>
    <x v="0"/>
    <n v="2150.0500000000002"/>
    <n v="31"/>
    <x v="1"/>
    <n v="4496.8599999999997"/>
    <n v="4880.7999999999902"/>
    <s v="New"/>
    <x v="22"/>
    <s v="Cash"/>
    <x v="1"/>
    <x v="19"/>
    <n v="142226.5119999997"/>
    <x v="500"/>
    <x v="0"/>
    <x v="500"/>
  </r>
  <r>
    <n v="1036"/>
    <d v="2023-07-01T00:00:00"/>
    <x v="6"/>
    <s v="Alice"/>
    <x v="2"/>
    <n v="3111.57"/>
    <n v="17"/>
    <x v="1"/>
    <n v="1475"/>
    <n v="1840.77"/>
    <s v="Returning"/>
    <x v="8"/>
    <s v="Credit Card"/>
    <x v="0"/>
    <x v="16"/>
    <n v="28163.780999999999"/>
    <x v="501"/>
    <x v="0"/>
    <x v="501"/>
  </r>
  <r>
    <n v="1027"/>
    <d v="2023-07-01T00:00:00"/>
    <x v="6"/>
    <s v="Eve"/>
    <x v="0"/>
    <n v="8666.43"/>
    <n v="15"/>
    <x v="0"/>
    <n v="1615.26"/>
    <n v="1710.95"/>
    <s v="New"/>
    <x v="24"/>
    <s v="Credit Card"/>
    <x v="1"/>
    <x v="0"/>
    <n v="19761.472500000003"/>
    <x v="502"/>
    <x v="1"/>
    <x v="502"/>
  </r>
  <r>
    <n v="1067"/>
    <d v="2023-07-02T00:00:00"/>
    <x v="6"/>
    <s v="Alice"/>
    <x v="0"/>
    <n v="8602.2900000000009"/>
    <n v="36"/>
    <x v="2"/>
    <n v="689.66"/>
    <n v="1150.28"/>
    <s v="New"/>
    <x v="3"/>
    <s v="Bank Transfer"/>
    <x v="0"/>
    <x v="13"/>
    <n v="33128.063999999998"/>
    <x v="503"/>
    <x v="0"/>
    <x v="503"/>
  </r>
  <r>
    <n v="1014"/>
    <d v="2023-07-02T00:00:00"/>
    <x v="6"/>
    <s v="David"/>
    <x v="3"/>
    <n v="9278.5300000000007"/>
    <n v="7"/>
    <x v="0"/>
    <n v="4705.46"/>
    <n v="4747.07"/>
    <s v="New"/>
    <x v="10"/>
    <s v="Bank Transfer"/>
    <x v="1"/>
    <x v="12"/>
    <n v="24257.527699999999"/>
    <x v="504"/>
    <x v="1"/>
    <x v="504"/>
  </r>
  <r>
    <n v="1066"/>
    <d v="2023-07-03T00:00:00"/>
    <x v="6"/>
    <s v="Charlie"/>
    <x v="0"/>
    <n v="6380.2"/>
    <n v="15"/>
    <x v="1"/>
    <n v="2579.31"/>
    <n v="2867.36"/>
    <s v="Returning"/>
    <x v="17"/>
    <s v="Bank Transfer"/>
    <x v="1"/>
    <x v="1"/>
    <n v="41289.983999999997"/>
    <x v="505"/>
    <x v="0"/>
    <x v="505"/>
  </r>
  <r>
    <n v="1029"/>
    <d v="2023-07-04T00:00:00"/>
    <x v="6"/>
    <s v="Charlie"/>
    <x v="0"/>
    <n v="5240.32"/>
    <n v="31"/>
    <x v="1"/>
    <n v="951.21"/>
    <n v="1320.32"/>
    <s v="New"/>
    <x v="20"/>
    <s v="Cash"/>
    <x v="0"/>
    <x v="1"/>
    <n v="34790.432000000001"/>
    <x v="506"/>
    <x v="0"/>
    <x v="506"/>
  </r>
  <r>
    <n v="1067"/>
    <d v="2023-07-05T00:00:00"/>
    <x v="6"/>
    <s v="Alice"/>
    <x v="2"/>
    <n v="6360.67"/>
    <n v="27"/>
    <x v="1"/>
    <n v="3624.97"/>
    <n v="3836.52"/>
    <s v="New"/>
    <x v="19"/>
    <s v="Cash"/>
    <x v="0"/>
    <x v="16"/>
    <n v="95299.156800000012"/>
    <x v="507"/>
    <x v="1"/>
    <x v="507"/>
  </r>
  <r>
    <n v="1053"/>
    <d v="2023-07-06T00:00:00"/>
    <x v="6"/>
    <s v="Charlie"/>
    <x v="3"/>
    <n v="4396.8100000000004"/>
    <n v="11"/>
    <x v="2"/>
    <n v="200.56"/>
    <n v="540.38"/>
    <s v="New"/>
    <x v="30"/>
    <s v="Bank Transfer"/>
    <x v="0"/>
    <x v="6"/>
    <n v="4874.2276000000002"/>
    <x v="508"/>
    <x v="0"/>
    <x v="508"/>
  </r>
  <r>
    <n v="1055"/>
    <d v="2023-07-06T00:00:00"/>
    <x v="6"/>
    <s v="Eve"/>
    <x v="1"/>
    <n v="1242.4100000000001"/>
    <n v="16"/>
    <x v="0"/>
    <n v="4195.38"/>
    <n v="4461.51"/>
    <s v="Returning"/>
    <x v="26"/>
    <s v="Bank Transfer"/>
    <x v="0"/>
    <x v="2"/>
    <n v="64959.585600000006"/>
    <x v="509"/>
    <x v="1"/>
    <x v="509"/>
  </r>
  <r>
    <n v="1004"/>
    <d v="2023-07-07T00:00:00"/>
    <x v="6"/>
    <s v="Eve"/>
    <x v="0"/>
    <n v="6772.8"/>
    <n v="35"/>
    <x v="0"/>
    <n v="2278.87"/>
    <n v="2646.5299999999902"/>
    <s v="Returning"/>
    <x v="26"/>
    <s v="Bank Transfer"/>
    <x v="0"/>
    <x v="0"/>
    <n v="84291.980499999685"/>
    <x v="510"/>
    <x v="0"/>
    <x v="510"/>
  </r>
  <r>
    <n v="1033"/>
    <d v="2023-07-07T00:00:00"/>
    <x v="6"/>
    <s v="Eve"/>
    <x v="3"/>
    <n v="8775.56"/>
    <n v="13"/>
    <x v="3"/>
    <n v="4342.53"/>
    <n v="4357.49"/>
    <s v="New"/>
    <x v="19"/>
    <s v="Bank Transfer"/>
    <x v="0"/>
    <x v="7"/>
    <n v="52115.580399999999"/>
    <x v="511"/>
    <x v="1"/>
    <x v="511"/>
  </r>
  <r>
    <n v="1080"/>
    <d v="2023-07-07T00:00:00"/>
    <x v="6"/>
    <s v="Charlie"/>
    <x v="2"/>
    <n v="5993.5"/>
    <n v="14"/>
    <x v="3"/>
    <n v="4127.54"/>
    <n v="4495.13"/>
    <s v="New"/>
    <x v="22"/>
    <s v="Bank Transfer"/>
    <x v="1"/>
    <x v="14"/>
    <n v="59155.910799999998"/>
    <x v="512"/>
    <x v="0"/>
    <x v="512"/>
  </r>
  <r>
    <n v="1092"/>
    <d v="2023-07-07T00:00:00"/>
    <x v="6"/>
    <s v="Alice"/>
    <x v="1"/>
    <n v="1039.69"/>
    <n v="14"/>
    <x v="1"/>
    <n v="2559.65"/>
    <n v="2709.4"/>
    <s v="Returning"/>
    <x v="16"/>
    <s v="Credit Card"/>
    <x v="1"/>
    <x v="15"/>
    <n v="33759.123999999996"/>
    <x v="513"/>
    <x v="1"/>
    <x v="513"/>
  </r>
  <r>
    <n v="1047"/>
    <d v="2023-07-07T00:00:00"/>
    <x v="6"/>
    <s v="David"/>
    <x v="1"/>
    <n v="9519.2999999999993"/>
    <n v="15"/>
    <x v="0"/>
    <n v="957.95"/>
    <n v="1329.26"/>
    <s v="New"/>
    <x v="5"/>
    <s v="Cash"/>
    <x v="0"/>
    <x v="3"/>
    <n v="15751.731000000002"/>
    <x v="514"/>
    <x v="0"/>
    <x v="514"/>
  </r>
  <r>
    <n v="1042"/>
    <d v="2023-07-08T00:00:00"/>
    <x v="6"/>
    <s v="Alice"/>
    <x v="3"/>
    <n v="5947.31"/>
    <n v="23"/>
    <x v="2"/>
    <n v="1314"/>
    <n v="1567.78"/>
    <s v="Returning"/>
    <x v="20"/>
    <s v="Credit Card"/>
    <x v="1"/>
    <x v="9"/>
    <n v="30650.098999999995"/>
    <x v="515"/>
    <x v="0"/>
    <x v="515"/>
  </r>
  <r>
    <n v="1086"/>
    <d v="2023-07-09T00:00:00"/>
    <x v="6"/>
    <s v="David"/>
    <x v="0"/>
    <n v="7041.28"/>
    <n v="28"/>
    <x v="3"/>
    <n v="2564.35"/>
    <n v="2765.79"/>
    <s v="Returning"/>
    <x v="15"/>
    <s v="Credit Card"/>
    <x v="0"/>
    <x v="19"/>
    <n v="64276.959600000002"/>
    <x v="516"/>
    <x v="1"/>
    <x v="516"/>
  </r>
  <r>
    <n v="1047"/>
    <d v="2023-07-10T00:00:00"/>
    <x v="6"/>
    <s v="David"/>
    <x v="0"/>
    <n v="6976.95"/>
    <n v="36"/>
    <x v="3"/>
    <n v="4043.53"/>
    <n v="4384.8500000000004"/>
    <s v="New"/>
    <x v="1"/>
    <s v="Cash"/>
    <x v="0"/>
    <x v="19"/>
    <n v="135754.95600000001"/>
    <x v="517"/>
    <x v="1"/>
    <x v="517"/>
  </r>
  <r>
    <n v="1092"/>
    <d v="2023-07-11T00:00:00"/>
    <x v="6"/>
    <s v="Eve"/>
    <x v="3"/>
    <n v="7667.1"/>
    <n v="33"/>
    <x v="2"/>
    <n v="2595.42"/>
    <n v="3083.06"/>
    <s v="New"/>
    <x v="19"/>
    <s v="Credit Card"/>
    <x v="0"/>
    <x v="7"/>
    <n v="93601.7016"/>
    <x v="518"/>
    <x v="0"/>
    <x v="518"/>
  </r>
  <r>
    <n v="1025"/>
    <d v="2023-07-11T00:00:00"/>
    <x v="6"/>
    <s v="Charlie"/>
    <x v="2"/>
    <n v="5910.67"/>
    <n v="40"/>
    <x v="2"/>
    <n v="2983.85"/>
    <n v="3239.74"/>
    <s v="New"/>
    <x v="10"/>
    <s v="Credit Card"/>
    <x v="0"/>
    <x v="14"/>
    <n v="94600.407999999996"/>
    <x v="519"/>
    <x v="1"/>
    <x v="519"/>
  </r>
  <r>
    <n v="1058"/>
    <d v="2023-07-12T00:00:00"/>
    <x v="6"/>
    <s v="Eve"/>
    <x v="3"/>
    <n v="9580.0499999999993"/>
    <n v="14"/>
    <x v="2"/>
    <n v="2703.97"/>
    <n v="2796.8799999999901"/>
    <s v="New"/>
    <x v="29"/>
    <s v="Bank Transfer"/>
    <x v="0"/>
    <x v="7"/>
    <n v="34065.99839999988"/>
    <x v="520"/>
    <x v="1"/>
    <x v="520"/>
  </r>
  <r>
    <n v="1023"/>
    <d v="2023-07-12T00:00:00"/>
    <x v="6"/>
    <s v="Alice"/>
    <x v="0"/>
    <n v="5051.12"/>
    <n v="2"/>
    <x v="3"/>
    <n v="665.89"/>
    <n v="944.79"/>
    <s v="New"/>
    <x v="8"/>
    <s v="Credit Card"/>
    <x v="1"/>
    <x v="13"/>
    <n v="1700.6220000000001"/>
    <x v="521"/>
    <x v="0"/>
    <x v="521"/>
  </r>
  <r>
    <n v="1046"/>
    <d v="2023-07-12T00:00:00"/>
    <x v="6"/>
    <s v="Eve"/>
    <x v="0"/>
    <n v="485.49"/>
    <n v="17"/>
    <x v="1"/>
    <n v="3850.99"/>
    <n v="4045.3399999999901"/>
    <s v="Returning"/>
    <x v="25"/>
    <s v="Credit Card"/>
    <x v="0"/>
    <x v="0"/>
    <n v="57767.455199999858"/>
    <x v="522"/>
    <x v="1"/>
    <x v="522"/>
  </r>
  <r>
    <n v="1021"/>
    <d v="2023-07-13T00:00:00"/>
    <x v="6"/>
    <s v="Bob"/>
    <x v="2"/>
    <n v="9638.64"/>
    <n v="43"/>
    <x v="1"/>
    <n v="4154.3"/>
    <n v="4469.07"/>
    <s v="Returning"/>
    <x v="24"/>
    <s v="Cash"/>
    <x v="1"/>
    <x v="18"/>
    <n v="147970.90770000001"/>
    <x v="523"/>
    <x v="1"/>
    <x v="523"/>
  </r>
  <r>
    <n v="1054"/>
    <d v="2023-07-13T00:00:00"/>
    <x v="6"/>
    <s v="Alice"/>
    <x v="1"/>
    <n v="7002.37"/>
    <n v="47"/>
    <x v="3"/>
    <n v="4429.8"/>
    <n v="4694.21"/>
    <s v="New"/>
    <x v="2"/>
    <s v="Bank Transfer"/>
    <x v="0"/>
    <x v="15"/>
    <n v="165470.90250000003"/>
    <x v="524"/>
    <x v="1"/>
    <x v="524"/>
  </r>
  <r>
    <n v="1004"/>
    <d v="2023-07-13T00:00:00"/>
    <x v="6"/>
    <s v="Eve"/>
    <x v="3"/>
    <n v="1526.38"/>
    <n v="16"/>
    <x v="0"/>
    <n v="1067.83"/>
    <n v="1189.22"/>
    <s v="Returning"/>
    <x v="12"/>
    <s v="Credit Card"/>
    <x v="1"/>
    <x v="7"/>
    <n v="14080.364799999999"/>
    <x v="525"/>
    <x v="1"/>
    <x v="525"/>
  </r>
  <r>
    <n v="1030"/>
    <d v="2023-07-14T00:00:00"/>
    <x v="6"/>
    <s v="Bob"/>
    <x v="3"/>
    <n v="3407.09"/>
    <n v="39"/>
    <x v="0"/>
    <n v="4929.7299999999996"/>
    <n v="5088.0199999999904"/>
    <s v="New"/>
    <x v="24"/>
    <s v="Bank Transfer"/>
    <x v="1"/>
    <x v="5"/>
    <n v="152793.24059999973"/>
    <x v="526"/>
    <x v="1"/>
    <x v="526"/>
  </r>
  <r>
    <n v="1027"/>
    <d v="2023-07-14T00:00:00"/>
    <x v="6"/>
    <s v="Bob"/>
    <x v="1"/>
    <n v="6650.67"/>
    <n v="22"/>
    <x v="3"/>
    <n v="3240.2"/>
    <n v="3606.0899999999901"/>
    <s v="New"/>
    <x v="9"/>
    <s v="Cash"/>
    <x v="0"/>
    <x v="8"/>
    <n v="73780.601399999796"/>
    <x v="527"/>
    <x v="0"/>
    <x v="527"/>
  </r>
  <r>
    <n v="1081"/>
    <d v="2023-07-14T00:00:00"/>
    <x v="6"/>
    <s v="Eve"/>
    <x v="0"/>
    <n v="7001.64"/>
    <n v="16"/>
    <x v="0"/>
    <n v="2530.15"/>
    <n v="2568.13"/>
    <s v="New"/>
    <x v="18"/>
    <s v="Credit Card"/>
    <x v="0"/>
    <x v="0"/>
    <n v="40679.179199999999"/>
    <x v="528"/>
    <x v="0"/>
    <x v="528"/>
  </r>
  <r>
    <n v="1052"/>
    <d v="2023-07-15T00:00:00"/>
    <x v="6"/>
    <s v="Charlie"/>
    <x v="3"/>
    <n v="1700.55"/>
    <n v="48"/>
    <x v="3"/>
    <n v="3002.35"/>
    <n v="3080.61"/>
    <s v="Returning"/>
    <x v="30"/>
    <s v="Bank Transfer"/>
    <x v="1"/>
    <x v="6"/>
    <n v="121252.80960000001"/>
    <x v="529"/>
    <x v="1"/>
    <x v="529"/>
  </r>
  <r>
    <n v="1017"/>
    <d v="2023-07-15T00:00:00"/>
    <x v="6"/>
    <s v="David"/>
    <x v="0"/>
    <n v="5705.19"/>
    <n v="23"/>
    <x v="2"/>
    <n v="1771.52"/>
    <n v="2147.8000000000002"/>
    <s v="New"/>
    <x v="9"/>
    <s v="Bank Transfer"/>
    <x v="0"/>
    <x v="19"/>
    <n v="45941.441999999995"/>
    <x v="530"/>
    <x v="0"/>
    <x v="530"/>
  </r>
  <r>
    <n v="1017"/>
    <d v="2023-07-16T00:00:00"/>
    <x v="6"/>
    <s v="Alice"/>
    <x v="1"/>
    <n v="3137.09"/>
    <n v="18"/>
    <x v="1"/>
    <n v="1069.73"/>
    <n v="1180.04"/>
    <s v="Returning"/>
    <x v="23"/>
    <s v="Bank Transfer"/>
    <x v="0"/>
    <x v="15"/>
    <n v="16567.761599999998"/>
    <x v="531"/>
    <x v="1"/>
    <x v="531"/>
  </r>
  <r>
    <n v="1030"/>
    <d v="2023-07-17T00:00:00"/>
    <x v="6"/>
    <s v="David"/>
    <x v="2"/>
    <n v="3023.48"/>
    <n v="19"/>
    <x v="0"/>
    <n v="3049.33"/>
    <n v="3209.22"/>
    <s v="Returning"/>
    <x v="12"/>
    <s v="Cash"/>
    <x v="0"/>
    <x v="4"/>
    <n v="45121.633199999997"/>
    <x v="532"/>
    <x v="1"/>
    <x v="532"/>
  </r>
  <r>
    <n v="1003"/>
    <d v="2023-07-17T00:00:00"/>
    <x v="6"/>
    <s v="Eve"/>
    <x v="2"/>
    <n v="5738.44"/>
    <n v="15"/>
    <x v="2"/>
    <n v="1729.14"/>
    <n v="1870.88"/>
    <s v="Returning"/>
    <x v="24"/>
    <s v="Cash"/>
    <x v="0"/>
    <x v="11"/>
    <n v="21608.664000000001"/>
    <x v="533"/>
    <x v="1"/>
    <x v="533"/>
  </r>
  <r>
    <n v="1019"/>
    <d v="2023-07-17T00:00:00"/>
    <x v="6"/>
    <s v="David"/>
    <x v="1"/>
    <n v="7320.51"/>
    <n v="14"/>
    <x v="0"/>
    <n v="1614.19"/>
    <n v="1882.79"/>
    <s v="New"/>
    <x v="2"/>
    <s v="Credit Card"/>
    <x v="1"/>
    <x v="3"/>
    <n v="19769.294999999998"/>
    <x v="534"/>
    <x v="1"/>
    <x v="534"/>
  </r>
  <r>
    <n v="1090"/>
    <d v="2023-07-17T00:00:00"/>
    <x v="6"/>
    <s v="David"/>
    <x v="0"/>
    <n v="5076.05"/>
    <n v="14"/>
    <x v="2"/>
    <n v="1350.47"/>
    <n v="1514.61"/>
    <s v="New"/>
    <x v="3"/>
    <s v="Credit Card"/>
    <x v="1"/>
    <x v="19"/>
    <n v="16963.631999999998"/>
    <x v="535"/>
    <x v="1"/>
    <x v="535"/>
  </r>
  <r>
    <n v="1089"/>
    <d v="2023-07-17T00:00:00"/>
    <x v="6"/>
    <s v="Charlie"/>
    <x v="0"/>
    <n v="3438.35"/>
    <n v="31"/>
    <x v="0"/>
    <n v="845.14"/>
    <n v="1001.77"/>
    <s v="New"/>
    <x v="11"/>
    <s v="Cash"/>
    <x v="0"/>
    <x v="1"/>
    <n v="30123.223900000001"/>
    <x v="536"/>
    <x v="0"/>
    <x v="536"/>
  </r>
  <r>
    <n v="1052"/>
    <d v="2023-07-18T00:00:00"/>
    <x v="6"/>
    <s v="Eve"/>
    <x v="1"/>
    <n v="6675.77"/>
    <n v="42"/>
    <x v="2"/>
    <n v="417.96"/>
    <n v="907.63"/>
    <s v="New"/>
    <x v="17"/>
    <s v="Cash"/>
    <x v="1"/>
    <x v="2"/>
    <n v="36595.641600000003"/>
    <x v="537"/>
    <x v="0"/>
    <x v="537"/>
  </r>
  <r>
    <n v="1019"/>
    <d v="2023-07-18T00:00:00"/>
    <x v="6"/>
    <s v="Alice"/>
    <x v="0"/>
    <n v="7948.31"/>
    <n v="12"/>
    <x v="0"/>
    <n v="4745.18"/>
    <n v="5145.88"/>
    <s v="Returning"/>
    <x v="28"/>
    <s v="Credit Card"/>
    <x v="0"/>
    <x v="13"/>
    <n v="50017.953600000001"/>
    <x v="538"/>
    <x v="1"/>
    <x v="538"/>
  </r>
  <r>
    <n v="1050"/>
    <d v="2023-07-18T00:00:00"/>
    <x v="6"/>
    <s v="Eve"/>
    <x v="1"/>
    <n v="6107.78"/>
    <n v="43"/>
    <x v="1"/>
    <n v="4834.47"/>
    <n v="4973.38"/>
    <s v="Returning"/>
    <x v="11"/>
    <s v="Bank Transfer"/>
    <x v="0"/>
    <x v="2"/>
    <n v="207439.67980000001"/>
    <x v="539"/>
    <x v="1"/>
    <x v="539"/>
  </r>
  <r>
    <n v="1062"/>
    <d v="2023-07-19T00:00:00"/>
    <x v="6"/>
    <s v="Charlie"/>
    <x v="0"/>
    <n v="5684.33"/>
    <n v="10"/>
    <x v="2"/>
    <n v="2940.4"/>
    <n v="3054.79"/>
    <s v="Returning"/>
    <x v="19"/>
    <s v="Credit Card"/>
    <x v="0"/>
    <x v="1"/>
    <n v="28104.068000000003"/>
    <x v="540"/>
    <x v="1"/>
    <x v="540"/>
  </r>
  <r>
    <n v="1090"/>
    <d v="2023-07-19T00:00:00"/>
    <x v="6"/>
    <s v="Charlie"/>
    <x v="2"/>
    <n v="656.14"/>
    <n v="10"/>
    <x v="1"/>
    <n v="2387.63"/>
    <n v="2438.9699999999998"/>
    <s v="Returning"/>
    <x v="21"/>
    <s v="Bank Transfer"/>
    <x v="1"/>
    <x v="14"/>
    <n v="23901.905999999999"/>
    <x v="541"/>
    <x v="0"/>
    <x v="541"/>
  </r>
  <r>
    <n v="1086"/>
    <d v="2023-07-20T00:00:00"/>
    <x v="6"/>
    <s v="Bob"/>
    <x v="0"/>
    <n v="7075.09"/>
    <n v="17"/>
    <x v="3"/>
    <n v="1057.27"/>
    <n v="1366.62"/>
    <s v="New"/>
    <x v="5"/>
    <s v="Credit Card"/>
    <x v="1"/>
    <x v="10"/>
    <n v="18353.706599999998"/>
    <x v="542"/>
    <x v="0"/>
    <x v="542"/>
  </r>
  <r>
    <n v="1055"/>
    <d v="2023-07-20T00:00:00"/>
    <x v="6"/>
    <s v="Eve"/>
    <x v="2"/>
    <n v="7354.06"/>
    <n v="43"/>
    <x v="1"/>
    <n v="4111.7"/>
    <n v="4537.9399999999996"/>
    <s v="Returning"/>
    <x v="29"/>
    <s v="Bank Transfer"/>
    <x v="0"/>
    <x v="11"/>
    <n v="169764.33539999998"/>
    <x v="543"/>
    <x v="1"/>
    <x v="543"/>
  </r>
  <r>
    <n v="1062"/>
    <d v="2023-07-20T00:00:00"/>
    <x v="6"/>
    <s v="Eve"/>
    <x v="0"/>
    <n v="903.38"/>
    <n v="48"/>
    <x v="2"/>
    <n v="1679.69"/>
    <n v="1939.04"/>
    <s v="New"/>
    <x v="26"/>
    <s v="Credit Card"/>
    <x v="0"/>
    <x v="0"/>
    <n v="84697.267200000002"/>
    <x v="544"/>
    <x v="0"/>
    <x v="544"/>
  </r>
  <r>
    <n v="1017"/>
    <d v="2023-07-21T00:00:00"/>
    <x v="6"/>
    <s v="David"/>
    <x v="3"/>
    <n v="3388.69"/>
    <n v="1"/>
    <x v="3"/>
    <n v="172.59"/>
    <n v="404.69"/>
    <s v="Returning"/>
    <x v="14"/>
    <s v="Bank Transfer"/>
    <x v="0"/>
    <x v="12"/>
    <n v="287.32990000000001"/>
    <x v="545"/>
    <x v="0"/>
    <x v="545"/>
  </r>
  <r>
    <n v="1063"/>
    <d v="2023-07-21T00:00:00"/>
    <x v="6"/>
    <s v="Bob"/>
    <x v="3"/>
    <n v="6359.59"/>
    <n v="32"/>
    <x v="2"/>
    <n v="975.31"/>
    <n v="1176.17"/>
    <s v="New"/>
    <x v="23"/>
    <s v="Bank Transfer"/>
    <x v="1"/>
    <x v="5"/>
    <n v="29357.203200000004"/>
    <x v="546"/>
    <x v="1"/>
    <x v="546"/>
  </r>
  <r>
    <n v="1066"/>
    <d v="2023-07-21T00:00:00"/>
    <x v="6"/>
    <s v="Charlie"/>
    <x v="3"/>
    <n v="3492.19"/>
    <n v="4"/>
    <x v="1"/>
    <n v="868.83"/>
    <n v="1177.75"/>
    <s v="Returning"/>
    <x v="5"/>
    <s v="Credit Card"/>
    <x v="1"/>
    <x v="6"/>
    <n v="3721.69"/>
    <x v="547"/>
    <x v="0"/>
    <x v="547"/>
  </r>
  <r>
    <n v="1023"/>
    <d v="2023-07-21T00:00:00"/>
    <x v="6"/>
    <s v="Eve"/>
    <x v="0"/>
    <n v="2282.9899999999998"/>
    <n v="4"/>
    <x v="0"/>
    <n v="1532.8"/>
    <n v="1619.69"/>
    <s v="Returning"/>
    <x v="0"/>
    <s v="Bank Transfer"/>
    <x v="1"/>
    <x v="0"/>
    <n v="6154.8220000000001"/>
    <x v="548"/>
    <x v="0"/>
    <x v="548"/>
  </r>
  <r>
    <n v="1039"/>
    <d v="2023-07-22T00:00:00"/>
    <x v="6"/>
    <s v="Alice"/>
    <x v="3"/>
    <n v="6807.67"/>
    <n v="42"/>
    <x v="0"/>
    <n v="3120.19"/>
    <n v="3600.14"/>
    <s v="Returning"/>
    <x v="28"/>
    <s v="Credit Card"/>
    <x v="1"/>
    <x v="9"/>
    <n v="122476.76280000001"/>
    <x v="549"/>
    <x v="1"/>
    <x v="549"/>
  </r>
  <r>
    <n v="1056"/>
    <d v="2023-07-23T00:00:00"/>
    <x v="6"/>
    <s v="Bob"/>
    <x v="2"/>
    <n v="7591.63"/>
    <n v="35"/>
    <x v="1"/>
    <n v="2344.9299999999998"/>
    <n v="2707.25"/>
    <s v="New"/>
    <x v="7"/>
    <s v="Credit Card"/>
    <x v="1"/>
    <x v="18"/>
    <n v="83383.3"/>
    <x v="550"/>
    <x v="0"/>
    <x v="550"/>
  </r>
  <r>
    <n v="1042"/>
    <d v="2023-07-23T00:00:00"/>
    <x v="6"/>
    <s v="Charlie"/>
    <x v="2"/>
    <n v="8417.07"/>
    <n v="26"/>
    <x v="2"/>
    <n v="4208.09"/>
    <n v="4226.5600000000004"/>
    <s v="Returning"/>
    <x v="14"/>
    <s v="Cash"/>
    <x v="1"/>
    <x v="14"/>
    <n v="78022.297600000005"/>
    <x v="551"/>
    <x v="1"/>
    <x v="551"/>
  </r>
  <r>
    <n v="1098"/>
    <d v="2023-07-24T00:00:00"/>
    <x v="6"/>
    <s v="Alice"/>
    <x v="1"/>
    <n v="8188.04"/>
    <n v="19"/>
    <x v="2"/>
    <n v="4055.51"/>
    <n v="4258.84"/>
    <s v="Returning"/>
    <x v="11"/>
    <s v="Credit Card"/>
    <x v="0"/>
    <x v="15"/>
    <n v="78490.421200000012"/>
    <x v="552"/>
    <x v="0"/>
    <x v="552"/>
  </r>
  <r>
    <n v="1003"/>
    <d v="2023-07-25T00:00:00"/>
    <x v="6"/>
    <s v="Eve"/>
    <x v="2"/>
    <n v="5617.64"/>
    <n v="5"/>
    <x v="3"/>
    <n v="2206.58"/>
    <n v="2490.4699999999998"/>
    <s v="New"/>
    <x v="27"/>
    <s v="Cash"/>
    <x v="0"/>
    <x v="11"/>
    <n v="8965.6919999999991"/>
    <x v="553"/>
    <x v="1"/>
    <x v="553"/>
  </r>
  <r>
    <n v="1047"/>
    <d v="2023-07-25T00:00:00"/>
    <x v="6"/>
    <s v="Charlie"/>
    <x v="3"/>
    <n v="2936.54"/>
    <n v="19"/>
    <x v="1"/>
    <n v="3484.62"/>
    <n v="3781.5499999999902"/>
    <s v="Returning"/>
    <x v="5"/>
    <s v="Credit Card"/>
    <x v="1"/>
    <x v="6"/>
    <n v="56761.065499999851"/>
    <x v="554"/>
    <x v="1"/>
    <x v="554"/>
  </r>
  <r>
    <n v="1015"/>
    <d v="2023-07-26T00:00:00"/>
    <x v="6"/>
    <s v="David"/>
    <x v="0"/>
    <n v="2706.15"/>
    <n v="9"/>
    <x v="2"/>
    <n v="4680.3500000000004"/>
    <n v="4758.1099999999997"/>
    <s v="Returning"/>
    <x v="0"/>
    <s v="Bank Transfer"/>
    <x v="0"/>
    <x v="19"/>
    <n v="40681.840499999998"/>
    <x v="555"/>
    <x v="1"/>
    <x v="555"/>
  </r>
  <r>
    <n v="1062"/>
    <d v="2023-07-27T00:00:00"/>
    <x v="6"/>
    <s v="David"/>
    <x v="1"/>
    <n v="4078.68"/>
    <n v="44"/>
    <x v="2"/>
    <n v="987.74"/>
    <n v="1462.19"/>
    <s v="New"/>
    <x v="6"/>
    <s v="Bank Transfer"/>
    <x v="0"/>
    <x v="3"/>
    <n v="48895.633600000001"/>
    <x v="556"/>
    <x v="0"/>
    <x v="556"/>
  </r>
  <r>
    <n v="1078"/>
    <d v="2023-07-27T00:00:00"/>
    <x v="6"/>
    <s v="Eve"/>
    <x v="0"/>
    <n v="4127.37"/>
    <n v="3"/>
    <x v="0"/>
    <n v="902.38"/>
    <n v="1128.9100000000001"/>
    <s v="New"/>
    <x v="18"/>
    <s v="Bank Transfer"/>
    <x v="1"/>
    <x v="0"/>
    <n v="3352.8627000000006"/>
    <x v="557"/>
    <x v="0"/>
    <x v="557"/>
  </r>
  <r>
    <n v="1025"/>
    <d v="2023-07-28T00:00:00"/>
    <x v="6"/>
    <s v="David"/>
    <x v="2"/>
    <n v="4376.99"/>
    <n v="37"/>
    <x v="2"/>
    <n v="1115.02"/>
    <n v="1174.48"/>
    <s v="New"/>
    <x v="23"/>
    <s v="Credit Card"/>
    <x v="0"/>
    <x v="4"/>
    <n v="33895.4928"/>
    <x v="558"/>
    <x v="1"/>
    <x v="558"/>
  </r>
  <r>
    <n v="1054"/>
    <d v="2023-07-28T00:00:00"/>
    <x v="6"/>
    <s v="David"/>
    <x v="3"/>
    <n v="768.28"/>
    <n v="20"/>
    <x v="0"/>
    <n v="4622.1400000000003"/>
    <n v="5122.07"/>
    <s v="New"/>
    <x v="12"/>
    <s v="Cash"/>
    <x v="1"/>
    <x v="12"/>
    <n v="75806.635999999999"/>
    <x v="559"/>
    <x v="1"/>
    <x v="559"/>
  </r>
  <r>
    <n v="1082"/>
    <d v="2023-07-28T00:00:00"/>
    <x v="6"/>
    <s v="Alice"/>
    <x v="3"/>
    <n v="8540.2199999999993"/>
    <n v="48"/>
    <x v="3"/>
    <n v="3380.52"/>
    <n v="3778.94"/>
    <s v="Returning"/>
    <x v="13"/>
    <s v="Bank Transfer"/>
    <x v="0"/>
    <x v="9"/>
    <n v="126972.38399999999"/>
    <x v="560"/>
    <x v="1"/>
    <x v="560"/>
  </r>
  <r>
    <n v="1096"/>
    <d v="2023-07-29T00:00:00"/>
    <x v="6"/>
    <s v="Charlie"/>
    <x v="2"/>
    <n v="485.41"/>
    <n v="38"/>
    <x v="2"/>
    <n v="3955.66"/>
    <n v="4270.59"/>
    <s v="Returning"/>
    <x v="20"/>
    <s v="Credit Card"/>
    <x v="0"/>
    <x v="14"/>
    <n v="137940.057"/>
    <x v="561"/>
    <x v="1"/>
    <x v="561"/>
  </r>
  <r>
    <n v="1059"/>
    <d v="2023-07-29T00:00:00"/>
    <x v="6"/>
    <s v="Bob"/>
    <x v="1"/>
    <n v="7678.91"/>
    <n v="16"/>
    <x v="1"/>
    <n v="4287.21"/>
    <n v="4464.28"/>
    <s v="Returning"/>
    <x v="3"/>
    <s v="Credit Card"/>
    <x v="1"/>
    <x v="8"/>
    <n v="57142.784"/>
    <x v="562"/>
    <x v="1"/>
    <x v="562"/>
  </r>
  <r>
    <n v="1044"/>
    <d v="2023-07-29T00:00:00"/>
    <x v="6"/>
    <s v="Alice"/>
    <x v="0"/>
    <n v="6144.41"/>
    <n v="47"/>
    <x v="2"/>
    <n v="1512.34"/>
    <n v="1830.76"/>
    <s v="New"/>
    <x v="7"/>
    <s v="Bank Transfer"/>
    <x v="0"/>
    <x v="13"/>
    <n v="75720.233600000007"/>
    <x v="563"/>
    <x v="0"/>
    <x v="563"/>
  </r>
  <r>
    <n v="1082"/>
    <d v="2023-07-29T00:00:00"/>
    <x v="6"/>
    <s v="Eve"/>
    <x v="3"/>
    <n v="5677.61"/>
    <n v="46"/>
    <x v="3"/>
    <n v="1102.69"/>
    <n v="1437.12"/>
    <s v="New"/>
    <x v="16"/>
    <s v="Credit Card"/>
    <x v="0"/>
    <x v="7"/>
    <n v="58835.69279999999"/>
    <x v="564"/>
    <x v="0"/>
    <x v="564"/>
  </r>
  <r>
    <n v="1048"/>
    <d v="2023-07-30T00:00:00"/>
    <x v="6"/>
    <s v="Alice"/>
    <x v="0"/>
    <n v="9527"/>
    <n v="6"/>
    <x v="1"/>
    <n v="1945.27"/>
    <n v="2309.4299999999998"/>
    <s v="New"/>
    <x v="12"/>
    <s v="Credit Card"/>
    <x v="0"/>
    <x v="13"/>
    <n v="10253.869199999999"/>
    <x v="565"/>
    <x v="1"/>
    <x v="565"/>
  </r>
  <r>
    <n v="1088"/>
    <d v="2023-07-30T00:00:00"/>
    <x v="6"/>
    <s v="Eve"/>
    <x v="3"/>
    <n v="7997.55"/>
    <n v="1"/>
    <x v="1"/>
    <n v="4384.6400000000003"/>
    <n v="4693.8999999999996"/>
    <s v="New"/>
    <x v="1"/>
    <s v="Cash"/>
    <x v="1"/>
    <x v="7"/>
    <n v="4036.7539999999995"/>
    <x v="566"/>
    <x v="1"/>
    <x v="566"/>
  </r>
  <r>
    <n v="1002"/>
    <d v="2023-07-31T00:00:00"/>
    <x v="6"/>
    <s v="David"/>
    <x v="3"/>
    <n v="8090.84"/>
    <n v="21"/>
    <x v="0"/>
    <n v="4138.41"/>
    <n v="4361.7"/>
    <s v="Returning"/>
    <x v="9"/>
    <s v="Credit Card"/>
    <x v="1"/>
    <x v="12"/>
    <n v="85184.000999999989"/>
    <x v="567"/>
    <x v="1"/>
    <x v="567"/>
  </r>
  <r>
    <n v="1063"/>
    <d v="2023-08-01T00:00:00"/>
    <x v="7"/>
    <s v="Bob"/>
    <x v="1"/>
    <n v="6346.13"/>
    <n v="4"/>
    <x v="2"/>
    <n v="1046.26"/>
    <n v="1475.29"/>
    <s v="Returning"/>
    <x v="26"/>
    <s v="Bank Transfer"/>
    <x v="1"/>
    <x v="8"/>
    <n v="5370.0555999999997"/>
    <x v="568"/>
    <x v="0"/>
    <x v="568"/>
  </r>
  <r>
    <n v="1039"/>
    <d v="2023-08-01T00:00:00"/>
    <x v="7"/>
    <s v="Eve"/>
    <x v="2"/>
    <n v="7527.63"/>
    <n v="36"/>
    <x v="0"/>
    <n v="2919"/>
    <n v="3125.01"/>
    <s v="New"/>
    <x v="6"/>
    <s v="Cash"/>
    <x v="0"/>
    <x v="11"/>
    <n v="85500.273600000015"/>
    <x v="569"/>
    <x v="1"/>
    <x v="569"/>
  </r>
  <r>
    <n v="1096"/>
    <d v="2023-08-02T00:00:00"/>
    <x v="7"/>
    <s v="Bob"/>
    <x v="0"/>
    <n v="4815.72"/>
    <n v="30"/>
    <x v="2"/>
    <n v="3969.86"/>
    <n v="4281.79"/>
    <s v="Returning"/>
    <x v="19"/>
    <s v="Bank Transfer"/>
    <x v="1"/>
    <x v="10"/>
    <n v="118177.40400000001"/>
    <x v="570"/>
    <x v="1"/>
    <x v="570"/>
  </r>
  <r>
    <n v="1038"/>
    <d v="2023-08-02T00:00:00"/>
    <x v="7"/>
    <s v="Alice"/>
    <x v="3"/>
    <n v="8489.14"/>
    <n v="43"/>
    <x v="1"/>
    <n v="3031.17"/>
    <n v="3231.32"/>
    <s v="Returning"/>
    <x v="23"/>
    <s v="Cash"/>
    <x v="1"/>
    <x v="9"/>
    <n v="108378.47280000002"/>
    <x v="571"/>
    <x v="1"/>
    <x v="571"/>
  </r>
  <r>
    <n v="1029"/>
    <d v="2023-08-02T00:00:00"/>
    <x v="7"/>
    <s v="Eve"/>
    <x v="1"/>
    <n v="2855.85"/>
    <n v="46"/>
    <x v="1"/>
    <n v="4609.66"/>
    <n v="4879.1499999999996"/>
    <s v="Returning"/>
    <x v="13"/>
    <s v="Cash"/>
    <x v="1"/>
    <x v="2"/>
    <n v="157108.62999999998"/>
    <x v="572"/>
    <x v="1"/>
    <x v="572"/>
  </r>
  <r>
    <n v="1001"/>
    <d v="2023-08-03T00:00:00"/>
    <x v="7"/>
    <s v="Bob"/>
    <x v="2"/>
    <n v="5879.35"/>
    <n v="20"/>
    <x v="3"/>
    <n v="2153.52"/>
    <n v="2303.6999999999998"/>
    <s v="Returning"/>
    <x v="18"/>
    <s v="Cash"/>
    <x v="1"/>
    <x v="18"/>
    <n v="45613.26"/>
    <x v="573"/>
    <x v="0"/>
    <x v="573"/>
  </r>
  <r>
    <n v="1033"/>
    <d v="2023-08-03T00:00:00"/>
    <x v="7"/>
    <s v="Alice"/>
    <x v="2"/>
    <n v="1103.5899999999999"/>
    <n v="40"/>
    <x v="3"/>
    <n v="541.19000000000005"/>
    <n v="595.20000000000005"/>
    <s v="Returning"/>
    <x v="28"/>
    <s v="Credit Card"/>
    <x v="0"/>
    <x v="16"/>
    <n v="19284.480000000003"/>
    <x v="574"/>
    <x v="1"/>
    <x v="574"/>
  </r>
  <r>
    <n v="1043"/>
    <d v="2023-08-03T00:00:00"/>
    <x v="7"/>
    <s v="David"/>
    <x v="3"/>
    <n v="6601.89"/>
    <n v="22"/>
    <x v="2"/>
    <n v="4260"/>
    <n v="4656.58"/>
    <s v="New"/>
    <x v="4"/>
    <s v="Bank Transfer"/>
    <x v="0"/>
    <x v="12"/>
    <n v="102444.76"/>
    <x v="575"/>
    <x v="0"/>
    <x v="575"/>
  </r>
  <r>
    <n v="1016"/>
    <d v="2023-08-03T00:00:00"/>
    <x v="7"/>
    <s v="Alice"/>
    <x v="2"/>
    <n v="3080.36"/>
    <n v="16"/>
    <x v="1"/>
    <n v="4457.68"/>
    <n v="4743.03"/>
    <s v="Returning"/>
    <x v="28"/>
    <s v="Cash"/>
    <x v="0"/>
    <x v="16"/>
    <n v="61469.668799999999"/>
    <x v="576"/>
    <x v="1"/>
    <x v="576"/>
  </r>
  <r>
    <n v="1002"/>
    <d v="2023-08-03T00:00:00"/>
    <x v="7"/>
    <s v="Alice"/>
    <x v="1"/>
    <n v="8302.7000000000007"/>
    <n v="16"/>
    <x v="1"/>
    <n v="2872.4"/>
    <n v="3193.76"/>
    <s v="Returning"/>
    <x v="17"/>
    <s v="Credit Card"/>
    <x v="0"/>
    <x v="15"/>
    <n v="49056.153600000005"/>
    <x v="577"/>
    <x v="0"/>
    <x v="577"/>
  </r>
  <r>
    <n v="1023"/>
    <d v="2023-08-03T00:00:00"/>
    <x v="7"/>
    <s v="David"/>
    <x v="2"/>
    <n v="8055.02"/>
    <n v="45"/>
    <x v="3"/>
    <n v="4692.24"/>
    <n v="4825.92"/>
    <s v="Returning"/>
    <x v="28"/>
    <s v="Bank Transfer"/>
    <x v="1"/>
    <x v="4"/>
    <n v="175904.78400000001"/>
    <x v="578"/>
    <x v="1"/>
    <x v="578"/>
  </r>
  <r>
    <n v="1028"/>
    <d v="2023-08-04T00:00:00"/>
    <x v="7"/>
    <s v="Alice"/>
    <x v="0"/>
    <n v="2363.9"/>
    <n v="38"/>
    <x v="0"/>
    <n v="3350.32"/>
    <n v="3449.94"/>
    <s v="New"/>
    <x v="12"/>
    <s v="Cash"/>
    <x v="0"/>
    <x v="13"/>
    <n v="97012.312800000014"/>
    <x v="579"/>
    <x v="1"/>
    <x v="579"/>
  </r>
  <r>
    <n v="1047"/>
    <d v="2023-08-04T00:00:00"/>
    <x v="7"/>
    <s v="Eve"/>
    <x v="1"/>
    <n v="733.66"/>
    <n v="47"/>
    <x v="0"/>
    <n v="4729.59"/>
    <n v="4976.68"/>
    <s v="Returning"/>
    <x v="30"/>
    <s v="Credit Card"/>
    <x v="1"/>
    <x v="2"/>
    <n v="191801.24720000004"/>
    <x v="580"/>
    <x v="1"/>
    <x v="580"/>
  </r>
  <r>
    <n v="1035"/>
    <d v="2023-08-04T00:00:00"/>
    <x v="7"/>
    <s v="David"/>
    <x v="1"/>
    <n v="3817.14"/>
    <n v="30"/>
    <x v="2"/>
    <n v="3813.62"/>
    <n v="3839.72"/>
    <s v="New"/>
    <x v="5"/>
    <s v="Credit Card"/>
    <x v="0"/>
    <x v="3"/>
    <n v="91001.364000000001"/>
    <x v="581"/>
    <x v="1"/>
    <x v="581"/>
  </r>
  <r>
    <n v="1001"/>
    <d v="2023-08-04T00:00:00"/>
    <x v="7"/>
    <s v="David"/>
    <x v="2"/>
    <n v="9087.6"/>
    <n v="20"/>
    <x v="3"/>
    <n v="3279.76"/>
    <n v="3563.97"/>
    <s v="Returning"/>
    <x v="2"/>
    <s v="Cash"/>
    <x v="1"/>
    <x v="4"/>
    <n v="53459.55"/>
    <x v="582"/>
    <x v="1"/>
    <x v="582"/>
  </r>
  <r>
    <n v="1001"/>
    <d v="2023-08-05T00:00:00"/>
    <x v="7"/>
    <s v="Bob"/>
    <x v="0"/>
    <n v="8247.5400000000009"/>
    <n v="4"/>
    <x v="3"/>
    <n v="1791.83"/>
    <n v="1871.22"/>
    <s v="Returning"/>
    <x v="7"/>
    <s v="Bank Transfer"/>
    <x v="0"/>
    <x v="10"/>
    <n v="6586.6944000000003"/>
    <x v="583"/>
    <x v="1"/>
    <x v="583"/>
  </r>
  <r>
    <n v="1030"/>
    <d v="2023-08-05T00:00:00"/>
    <x v="7"/>
    <s v="Bob"/>
    <x v="2"/>
    <n v="9733.4599999999991"/>
    <n v="34"/>
    <x v="2"/>
    <n v="3125.07"/>
    <n v="3564.19"/>
    <s v="Returning"/>
    <x v="26"/>
    <s v="Cash"/>
    <x v="0"/>
    <x v="18"/>
    <n v="110276.03860000001"/>
    <x v="584"/>
    <x v="0"/>
    <x v="584"/>
  </r>
  <r>
    <n v="1079"/>
    <d v="2023-08-06T00:00:00"/>
    <x v="7"/>
    <s v="David"/>
    <x v="0"/>
    <n v="1107.8599999999999"/>
    <n v="45"/>
    <x v="0"/>
    <n v="1406.9"/>
    <n v="1547.35"/>
    <s v="New"/>
    <x v="15"/>
    <s v="Cash"/>
    <x v="1"/>
    <x v="19"/>
    <n v="57793.522499999992"/>
    <x v="585"/>
    <x v="1"/>
    <x v="585"/>
  </r>
  <r>
    <n v="1069"/>
    <d v="2023-08-06T00:00:00"/>
    <x v="7"/>
    <s v="Bob"/>
    <x v="0"/>
    <n v="7936.43"/>
    <n v="4"/>
    <x v="2"/>
    <n v="2485.86"/>
    <n v="2532.87"/>
    <s v="New"/>
    <x v="18"/>
    <s v="Credit Card"/>
    <x v="0"/>
    <x v="10"/>
    <n v="10030.165199999999"/>
    <x v="586"/>
    <x v="0"/>
    <x v="586"/>
  </r>
  <r>
    <n v="1015"/>
    <d v="2023-08-07T00:00:00"/>
    <x v="7"/>
    <s v="Alice"/>
    <x v="3"/>
    <n v="1148.47"/>
    <n v="19"/>
    <x v="0"/>
    <n v="433.54"/>
    <n v="445.48"/>
    <s v="New"/>
    <x v="14"/>
    <s v="Bank Transfer"/>
    <x v="1"/>
    <x v="9"/>
    <n v="6009.5252"/>
    <x v="587"/>
    <x v="1"/>
    <x v="587"/>
  </r>
  <r>
    <n v="1077"/>
    <d v="2023-08-07T00:00:00"/>
    <x v="7"/>
    <s v="Charlie"/>
    <x v="3"/>
    <n v="242.38"/>
    <n v="43"/>
    <x v="3"/>
    <n v="4402.66"/>
    <n v="4724.7"/>
    <s v="New"/>
    <x v="8"/>
    <s v="Bank Transfer"/>
    <x v="1"/>
    <x v="6"/>
    <n v="182845.88999999998"/>
    <x v="588"/>
    <x v="1"/>
    <x v="588"/>
  </r>
  <r>
    <n v="1047"/>
    <d v="2023-08-08T00:00:00"/>
    <x v="7"/>
    <s v="David"/>
    <x v="0"/>
    <n v="1331.25"/>
    <n v="33"/>
    <x v="2"/>
    <n v="1341.55"/>
    <n v="1427.21"/>
    <s v="Returning"/>
    <x v="20"/>
    <s v="Credit Card"/>
    <x v="0"/>
    <x v="19"/>
    <n v="40033.2405"/>
    <x v="589"/>
    <x v="1"/>
    <x v="589"/>
  </r>
  <r>
    <n v="1044"/>
    <d v="2023-08-08T00:00:00"/>
    <x v="7"/>
    <s v="Alice"/>
    <x v="0"/>
    <n v="4912.6899999999996"/>
    <n v="18"/>
    <x v="0"/>
    <n v="430.14"/>
    <n v="641.17999999999995"/>
    <s v="New"/>
    <x v="29"/>
    <s v="Cash"/>
    <x v="0"/>
    <x v="13"/>
    <n v="10040.8788"/>
    <x v="590"/>
    <x v="0"/>
    <x v="590"/>
  </r>
  <r>
    <n v="1047"/>
    <d v="2023-08-09T00:00:00"/>
    <x v="7"/>
    <s v="David"/>
    <x v="0"/>
    <n v="1910.09"/>
    <n v="41"/>
    <x v="0"/>
    <n v="2888.49"/>
    <n v="2929.45"/>
    <s v="New"/>
    <x v="22"/>
    <s v="Cash"/>
    <x v="1"/>
    <x v="19"/>
    <n v="112901.00299999998"/>
    <x v="591"/>
    <x v="1"/>
    <x v="591"/>
  </r>
  <r>
    <n v="1075"/>
    <d v="2023-08-10T00:00:00"/>
    <x v="7"/>
    <s v="Charlie"/>
    <x v="0"/>
    <n v="9217.85"/>
    <n v="17"/>
    <x v="2"/>
    <n v="4966.66"/>
    <n v="5037.2699999999904"/>
    <s v="Returning"/>
    <x v="6"/>
    <s v="Bank Transfer"/>
    <x v="1"/>
    <x v="1"/>
    <n v="65081.528399999879"/>
    <x v="592"/>
    <x v="1"/>
    <x v="592"/>
  </r>
  <r>
    <n v="1024"/>
    <d v="2023-08-10T00:00:00"/>
    <x v="7"/>
    <s v="Eve"/>
    <x v="1"/>
    <n v="4384.3900000000003"/>
    <n v="30"/>
    <x v="3"/>
    <n v="1543.96"/>
    <n v="1558.87"/>
    <s v="Returning"/>
    <x v="27"/>
    <s v="Credit Card"/>
    <x v="0"/>
    <x v="2"/>
    <n v="33671.591999999997"/>
    <x v="593"/>
    <x v="1"/>
    <x v="593"/>
  </r>
  <r>
    <n v="1064"/>
    <d v="2023-08-10T00:00:00"/>
    <x v="7"/>
    <s v="Bob"/>
    <x v="1"/>
    <n v="322.02"/>
    <n v="5"/>
    <x v="3"/>
    <n v="421.05"/>
    <n v="488.23"/>
    <s v="Returning"/>
    <x v="9"/>
    <s v="Credit Card"/>
    <x v="1"/>
    <x v="8"/>
    <n v="2270.2694999999999"/>
    <x v="594"/>
    <x v="0"/>
    <x v="594"/>
  </r>
  <r>
    <n v="1017"/>
    <d v="2023-08-10T00:00:00"/>
    <x v="7"/>
    <s v="Alice"/>
    <x v="0"/>
    <n v="7400.52"/>
    <n v="43"/>
    <x v="1"/>
    <n v="1454.8"/>
    <n v="1674.97"/>
    <s v="New"/>
    <x v="11"/>
    <s v="Credit Card"/>
    <x v="0"/>
    <x v="13"/>
    <n v="69862.998699999996"/>
    <x v="595"/>
    <x v="0"/>
    <x v="595"/>
  </r>
  <r>
    <n v="1015"/>
    <d v="2023-08-11T00:00:00"/>
    <x v="7"/>
    <s v="Eve"/>
    <x v="3"/>
    <n v="3853.03"/>
    <n v="32"/>
    <x v="1"/>
    <n v="970.51"/>
    <n v="1330.84"/>
    <s v="Returning"/>
    <x v="22"/>
    <s v="Cash"/>
    <x v="1"/>
    <x v="7"/>
    <n v="40031.667199999996"/>
    <x v="596"/>
    <x v="0"/>
    <x v="596"/>
  </r>
  <r>
    <n v="1027"/>
    <d v="2023-08-11T00:00:00"/>
    <x v="7"/>
    <s v="Eve"/>
    <x v="0"/>
    <n v="1657"/>
    <n v="43"/>
    <x v="0"/>
    <n v="4232.6099999999997"/>
    <n v="4572.21"/>
    <s v="New"/>
    <x v="18"/>
    <s v="Cash"/>
    <x v="1"/>
    <x v="0"/>
    <n v="194638.9797"/>
    <x v="597"/>
    <x v="0"/>
    <x v="597"/>
  </r>
  <r>
    <n v="1032"/>
    <d v="2023-08-11T00:00:00"/>
    <x v="7"/>
    <s v="David"/>
    <x v="3"/>
    <n v="3147.18"/>
    <n v="5"/>
    <x v="3"/>
    <n v="4714.74"/>
    <n v="5129.1099999999997"/>
    <s v="New"/>
    <x v="2"/>
    <s v="Bank Transfer"/>
    <x v="0"/>
    <x v="12"/>
    <n v="19234.162499999999"/>
    <x v="598"/>
    <x v="1"/>
    <x v="598"/>
  </r>
  <r>
    <n v="1028"/>
    <d v="2023-08-11T00:00:00"/>
    <x v="7"/>
    <s v="Charlie"/>
    <x v="2"/>
    <n v="5809.35"/>
    <n v="45"/>
    <x v="0"/>
    <n v="4848.9799999999996"/>
    <n v="4985.75"/>
    <s v="Returning"/>
    <x v="3"/>
    <s v="Bank Transfer"/>
    <x v="0"/>
    <x v="14"/>
    <n v="179487.00000000003"/>
    <x v="599"/>
    <x v="1"/>
    <x v="599"/>
  </r>
  <r>
    <n v="1082"/>
    <d v="2023-08-11T00:00:00"/>
    <x v="7"/>
    <s v="Charlie"/>
    <x v="0"/>
    <n v="3207.37"/>
    <n v="43"/>
    <x v="1"/>
    <n v="2289.2199999999998"/>
    <n v="2581"/>
    <s v="New"/>
    <x v="0"/>
    <s v="Bank Transfer"/>
    <x v="0"/>
    <x v="1"/>
    <n v="105433.84999999999"/>
    <x v="600"/>
    <x v="0"/>
    <x v="600"/>
  </r>
  <r>
    <n v="1060"/>
    <d v="2023-08-12T00:00:00"/>
    <x v="7"/>
    <s v="David"/>
    <x v="0"/>
    <n v="1756.48"/>
    <n v="5"/>
    <x v="1"/>
    <n v="3970.08"/>
    <n v="4096.4799999999996"/>
    <s v="Returning"/>
    <x v="29"/>
    <s v="Cash"/>
    <x v="1"/>
    <x v="19"/>
    <n v="17819.687999999998"/>
    <x v="601"/>
    <x v="1"/>
    <x v="601"/>
  </r>
  <r>
    <n v="1018"/>
    <d v="2023-08-12T00:00:00"/>
    <x v="7"/>
    <s v="Charlie"/>
    <x v="0"/>
    <n v="2835.56"/>
    <n v="9"/>
    <x v="2"/>
    <n v="3161.09"/>
    <n v="3216.42"/>
    <s v="New"/>
    <x v="15"/>
    <s v="Bank Transfer"/>
    <x v="0"/>
    <x v="1"/>
    <n v="24026.6574"/>
    <x v="602"/>
    <x v="1"/>
    <x v="602"/>
  </r>
  <r>
    <n v="1074"/>
    <d v="2023-08-12T00:00:00"/>
    <x v="7"/>
    <s v="Bob"/>
    <x v="3"/>
    <n v="6011.84"/>
    <n v="2"/>
    <x v="3"/>
    <n v="2868.02"/>
    <n v="2994.74"/>
    <s v="Returning"/>
    <x v="30"/>
    <s v="Bank Transfer"/>
    <x v="0"/>
    <x v="5"/>
    <n v="4911.3735999999999"/>
    <x v="603"/>
    <x v="1"/>
    <x v="603"/>
  </r>
  <r>
    <n v="1075"/>
    <d v="2023-08-12T00:00:00"/>
    <x v="7"/>
    <s v="David"/>
    <x v="3"/>
    <n v="8989.4"/>
    <n v="14"/>
    <x v="1"/>
    <n v="1612.93"/>
    <n v="1964.15"/>
    <s v="Returning"/>
    <x v="6"/>
    <s v="Bank Transfer"/>
    <x v="1"/>
    <x v="12"/>
    <n v="20898.556"/>
    <x v="604"/>
    <x v="1"/>
    <x v="604"/>
  </r>
  <r>
    <n v="1028"/>
    <d v="2023-08-12T00:00:00"/>
    <x v="7"/>
    <s v="Charlie"/>
    <x v="1"/>
    <n v="2490.8200000000002"/>
    <n v="41"/>
    <x v="0"/>
    <n v="3956.03"/>
    <n v="4163.68"/>
    <s v="New"/>
    <x v="7"/>
    <s v="Bank Transfer"/>
    <x v="1"/>
    <x v="17"/>
    <n v="150225.57440000001"/>
    <x v="605"/>
    <x v="1"/>
    <x v="605"/>
  </r>
  <r>
    <n v="1084"/>
    <d v="2023-08-13T00:00:00"/>
    <x v="7"/>
    <s v="Alice"/>
    <x v="2"/>
    <n v="1290.05"/>
    <n v="21"/>
    <x v="1"/>
    <n v="3497.98"/>
    <n v="3765.31"/>
    <s v="New"/>
    <x v="19"/>
    <s v="Cash"/>
    <x v="0"/>
    <x v="16"/>
    <n v="72745.789199999999"/>
    <x v="606"/>
    <x v="1"/>
    <x v="606"/>
  </r>
  <r>
    <n v="1035"/>
    <d v="2023-08-13T00:00:00"/>
    <x v="7"/>
    <s v="Alice"/>
    <x v="2"/>
    <n v="2049.56"/>
    <n v="5"/>
    <x v="0"/>
    <n v="3991.69"/>
    <n v="4454.97"/>
    <s v="New"/>
    <x v="1"/>
    <s v="Credit Card"/>
    <x v="1"/>
    <x v="16"/>
    <n v="19156.371000000003"/>
    <x v="607"/>
    <x v="1"/>
    <x v="607"/>
  </r>
  <r>
    <n v="1023"/>
    <d v="2023-08-13T00:00:00"/>
    <x v="7"/>
    <s v="Bob"/>
    <x v="3"/>
    <n v="4896.93"/>
    <n v="38"/>
    <x v="0"/>
    <n v="324.45"/>
    <n v="336.37"/>
    <s v="New"/>
    <x v="27"/>
    <s v="Credit Card"/>
    <x v="1"/>
    <x v="5"/>
    <n v="9203.0831999999991"/>
    <x v="608"/>
    <x v="1"/>
    <x v="608"/>
  </r>
  <r>
    <n v="1100"/>
    <d v="2023-08-14T00:00:00"/>
    <x v="7"/>
    <s v="Bob"/>
    <x v="2"/>
    <n v="2198.7399999999998"/>
    <n v="43"/>
    <x v="3"/>
    <n v="1100.81"/>
    <n v="1137.44"/>
    <s v="Returning"/>
    <x v="19"/>
    <s v="Bank Transfer"/>
    <x v="0"/>
    <x v="18"/>
    <n v="44997.126400000001"/>
    <x v="609"/>
    <x v="1"/>
    <x v="609"/>
  </r>
  <r>
    <n v="1093"/>
    <d v="2023-08-14T00:00:00"/>
    <x v="7"/>
    <s v="David"/>
    <x v="2"/>
    <n v="6885.89"/>
    <n v="6"/>
    <x v="3"/>
    <n v="235.12"/>
    <n v="677.5"/>
    <s v="Returning"/>
    <x v="25"/>
    <s v="Credit Card"/>
    <x v="0"/>
    <x v="4"/>
    <n v="3414.6000000000004"/>
    <x v="610"/>
    <x v="0"/>
    <x v="610"/>
  </r>
  <r>
    <n v="1013"/>
    <d v="2023-08-14T00:00:00"/>
    <x v="7"/>
    <s v="Alice"/>
    <x v="3"/>
    <n v="4250.79"/>
    <n v="26"/>
    <x v="0"/>
    <n v="3749.12"/>
    <n v="4138.83"/>
    <s v="New"/>
    <x v="29"/>
    <s v="Credit Card"/>
    <x v="0"/>
    <x v="9"/>
    <n v="93620.334600000002"/>
    <x v="611"/>
    <x v="1"/>
    <x v="611"/>
  </r>
  <r>
    <n v="1083"/>
    <d v="2023-08-14T00:00:00"/>
    <x v="7"/>
    <s v="Eve"/>
    <x v="2"/>
    <n v="4902.4399999999996"/>
    <n v="42"/>
    <x v="0"/>
    <n v="2505.41"/>
    <n v="2638.96"/>
    <s v="New"/>
    <x v="8"/>
    <s v="Bank Transfer"/>
    <x v="0"/>
    <x v="11"/>
    <n v="99752.688000000009"/>
    <x v="612"/>
    <x v="1"/>
    <x v="612"/>
  </r>
  <r>
    <n v="1066"/>
    <d v="2023-08-14T00:00:00"/>
    <x v="7"/>
    <s v="Alice"/>
    <x v="1"/>
    <n v="4891.49"/>
    <n v="20"/>
    <x v="2"/>
    <n v="955.18"/>
    <n v="1072.82"/>
    <s v="New"/>
    <x v="11"/>
    <s v="Bank Transfer"/>
    <x v="1"/>
    <x v="15"/>
    <n v="20812.707999999999"/>
    <x v="613"/>
    <x v="0"/>
    <x v="613"/>
  </r>
  <r>
    <n v="1065"/>
    <d v="2023-08-14T00:00:00"/>
    <x v="7"/>
    <s v="Bob"/>
    <x v="2"/>
    <n v="5878.76"/>
    <n v="26"/>
    <x v="0"/>
    <n v="4337.8500000000004"/>
    <n v="4612.49"/>
    <s v="Returning"/>
    <x v="18"/>
    <s v="Cash"/>
    <x v="1"/>
    <x v="18"/>
    <n v="118725.4926"/>
    <x v="614"/>
    <x v="0"/>
    <x v="614"/>
  </r>
  <r>
    <n v="1063"/>
    <d v="2023-08-14T00:00:00"/>
    <x v="7"/>
    <s v="Bob"/>
    <x v="0"/>
    <n v="9956.75"/>
    <n v="27"/>
    <x v="0"/>
    <n v="3760.25"/>
    <n v="4147.1099999999997"/>
    <s v="New"/>
    <x v="23"/>
    <s v="Cash"/>
    <x v="0"/>
    <x v="10"/>
    <n v="87338.136599999998"/>
    <x v="615"/>
    <x v="1"/>
    <x v="615"/>
  </r>
  <r>
    <n v="1068"/>
    <d v="2023-08-15T00:00:00"/>
    <x v="7"/>
    <s v="Alice"/>
    <x v="1"/>
    <n v="7262.13"/>
    <n v="21"/>
    <x v="3"/>
    <n v="1142.53"/>
    <n v="1384.3"/>
    <s v="Returning"/>
    <x v="21"/>
    <s v="Credit Card"/>
    <x v="1"/>
    <x v="15"/>
    <n v="28488.894"/>
    <x v="616"/>
    <x v="0"/>
    <x v="616"/>
  </r>
  <r>
    <n v="1063"/>
    <d v="2023-08-15T00:00:00"/>
    <x v="7"/>
    <s v="Alice"/>
    <x v="3"/>
    <n v="2780.98"/>
    <n v="26"/>
    <x v="3"/>
    <n v="1046.96"/>
    <n v="1528.15"/>
    <s v="New"/>
    <x v="9"/>
    <s v="Credit Card"/>
    <x v="1"/>
    <x v="9"/>
    <n v="36950.667000000001"/>
    <x v="617"/>
    <x v="0"/>
    <x v="617"/>
  </r>
  <r>
    <n v="1046"/>
    <d v="2023-08-15T00:00:00"/>
    <x v="7"/>
    <s v="Alice"/>
    <x v="1"/>
    <n v="2373.02"/>
    <n v="4"/>
    <x v="1"/>
    <n v="4095.1"/>
    <n v="4134.55"/>
    <s v="Returning"/>
    <x v="26"/>
    <s v="Bank Transfer"/>
    <x v="1"/>
    <x v="15"/>
    <n v="15049.762000000001"/>
    <x v="618"/>
    <x v="1"/>
    <x v="618"/>
  </r>
  <r>
    <n v="1074"/>
    <d v="2023-08-15T00:00:00"/>
    <x v="7"/>
    <s v="David"/>
    <x v="2"/>
    <n v="289.38"/>
    <n v="29"/>
    <x v="1"/>
    <n v="1723.01"/>
    <n v="2197.42"/>
    <s v="New"/>
    <x v="9"/>
    <s v="Bank Transfer"/>
    <x v="1"/>
    <x v="4"/>
    <n v="59264.417399999998"/>
    <x v="619"/>
    <x v="0"/>
    <x v="619"/>
  </r>
  <r>
    <n v="1075"/>
    <d v="2023-08-15T00:00:00"/>
    <x v="7"/>
    <s v="Charlie"/>
    <x v="0"/>
    <n v="9972.11"/>
    <n v="28"/>
    <x v="0"/>
    <n v="2570.2199999999998"/>
    <n v="2610.8399999999901"/>
    <s v="Returning"/>
    <x v="10"/>
    <s v="Bank Transfer"/>
    <x v="1"/>
    <x v="1"/>
    <n v="53365.569599999799"/>
    <x v="620"/>
    <x v="1"/>
    <x v="620"/>
  </r>
  <r>
    <n v="1033"/>
    <d v="2023-08-15T00:00:00"/>
    <x v="7"/>
    <s v="Eve"/>
    <x v="3"/>
    <n v="3953.38"/>
    <n v="29"/>
    <x v="0"/>
    <n v="1412.09"/>
    <n v="1596.6499999999901"/>
    <s v="Returning"/>
    <x v="9"/>
    <s v="Cash"/>
    <x v="0"/>
    <x v="7"/>
    <n v="43061.650499999734"/>
    <x v="621"/>
    <x v="0"/>
    <x v="621"/>
  </r>
  <r>
    <n v="1059"/>
    <d v="2023-08-16T00:00:00"/>
    <x v="7"/>
    <s v="Alice"/>
    <x v="2"/>
    <n v="3634.59"/>
    <n v="21"/>
    <x v="0"/>
    <n v="3110.54"/>
    <n v="3192.99"/>
    <s v="New"/>
    <x v="15"/>
    <s v="Credit Card"/>
    <x v="0"/>
    <x v="16"/>
    <n v="55653.815699999992"/>
    <x v="622"/>
    <x v="1"/>
    <x v="622"/>
  </r>
  <r>
    <n v="1014"/>
    <d v="2023-08-16T00:00:00"/>
    <x v="7"/>
    <s v="David"/>
    <x v="1"/>
    <n v="8983.92"/>
    <n v="26"/>
    <x v="1"/>
    <n v="433.19"/>
    <n v="800.6"/>
    <s v="Returning"/>
    <x v="3"/>
    <s v="Cash"/>
    <x v="0"/>
    <x v="3"/>
    <n v="16652.48"/>
    <x v="623"/>
    <x v="0"/>
    <x v="623"/>
  </r>
  <r>
    <n v="1086"/>
    <d v="2023-08-16T00:00:00"/>
    <x v="7"/>
    <s v="Alice"/>
    <x v="3"/>
    <n v="4923.93"/>
    <n v="48"/>
    <x v="3"/>
    <n v="2632.58"/>
    <n v="2926.68"/>
    <s v="Returning"/>
    <x v="1"/>
    <s v="Cash"/>
    <x v="0"/>
    <x v="9"/>
    <n v="120813.3504"/>
    <x v="624"/>
    <x v="1"/>
    <x v="624"/>
  </r>
  <r>
    <n v="1022"/>
    <d v="2023-08-17T00:00:00"/>
    <x v="7"/>
    <s v="Charlie"/>
    <x v="1"/>
    <n v="8813.5499999999993"/>
    <n v="21"/>
    <x v="3"/>
    <n v="2537.1999999999998"/>
    <n v="2869.6"/>
    <s v="New"/>
    <x v="14"/>
    <s v="Bank Transfer"/>
    <x v="1"/>
    <x v="17"/>
    <n v="42785.735999999997"/>
    <x v="625"/>
    <x v="1"/>
    <x v="625"/>
  </r>
  <r>
    <n v="1060"/>
    <d v="2023-08-17T00:00:00"/>
    <x v="7"/>
    <s v="Bob"/>
    <x v="3"/>
    <n v="8371.25"/>
    <n v="16"/>
    <x v="0"/>
    <n v="3975.99"/>
    <n v="4422.59"/>
    <s v="New"/>
    <x v="6"/>
    <s v="Cash"/>
    <x v="0"/>
    <x v="5"/>
    <n v="53778.6944"/>
    <x v="626"/>
    <x v="1"/>
    <x v="626"/>
  </r>
  <r>
    <n v="1009"/>
    <d v="2023-08-17T00:00:00"/>
    <x v="7"/>
    <s v="Bob"/>
    <x v="2"/>
    <n v="8912.4"/>
    <n v="33"/>
    <x v="0"/>
    <n v="450.72"/>
    <n v="918.17"/>
    <s v="Returning"/>
    <x v="16"/>
    <s v="Cash"/>
    <x v="0"/>
    <x v="18"/>
    <n v="26966.652900000001"/>
    <x v="627"/>
    <x v="0"/>
    <x v="627"/>
  </r>
  <r>
    <n v="1007"/>
    <d v="2023-08-17T00:00:00"/>
    <x v="7"/>
    <s v="Eve"/>
    <x v="3"/>
    <n v="2426.2399999999998"/>
    <n v="16"/>
    <x v="1"/>
    <n v="4310.3100000000004"/>
    <n v="4633.1000000000004"/>
    <s v="New"/>
    <x v="27"/>
    <s v="Credit Card"/>
    <x v="1"/>
    <x v="7"/>
    <n v="53373.312000000005"/>
    <x v="628"/>
    <x v="1"/>
    <x v="628"/>
  </r>
  <r>
    <n v="1016"/>
    <d v="2023-08-17T00:00:00"/>
    <x v="7"/>
    <s v="Eve"/>
    <x v="2"/>
    <n v="777.74"/>
    <n v="7"/>
    <x v="3"/>
    <n v="282.94"/>
    <n v="779.32999999999902"/>
    <s v="Returning"/>
    <x v="27"/>
    <s v="Credit Card"/>
    <x v="0"/>
    <x v="11"/>
    <n v="3927.8231999999948"/>
    <x v="629"/>
    <x v="0"/>
    <x v="629"/>
  </r>
  <r>
    <n v="1090"/>
    <d v="2023-08-19T00:00:00"/>
    <x v="7"/>
    <s v="Bob"/>
    <x v="2"/>
    <n v="9088.2000000000007"/>
    <n v="31"/>
    <x v="0"/>
    <n v="2347.81"/>
    <n v="2668.02"/>
    <s v="Returning"/>
    <x v="26"/>
    <s v="Bank Transfer"/>
    <x v="1"/>
    <x v="18"/>
    <n v="75264.844200000007"/>
    <x v="630"/>
    <x v="0"/>
    <x v="630"/>
  </r>
  <r>
    <n v="1005"/>
    <d v="2023-08-20T00:00:00"/>
    <x v="7"/>
    <s v="Bob"/>
    <x v="0"/>
    <n v="4400.59"/>
    <n v="21"/>
    <x v="3"/>
    <n v="4376.37"/>
    <n v="4818.95"/>
    <s v="New"/>
    <x v="4"/>
    <s v="Credit Card"/>
    <x v="1"/>
    <x v="10"/>
    <n v="101197.95"/>
    <x v="631"/>
    <x v="0"/>
    <x v="631"/>
  </r>
  <r>
    <n v="1072"/>
    <d v="2023-08-21T00:00:00"/>
    <x v="7"/>
    <s v="Alice"/>
    <x v="2"/>
    <n v="8271.6200000000008"/>
    <n v="12"/>
    <x v="0"/>
    <n v="710.99"/>
    <n v="876.46"/>
    <s v="Returning"/>
    <x v="11"/>
    <s v="Credit Card"/>
    <x v="0"/>
    <x v="16"/>
    <n v="10201.9944"/>
    <x v="632"/>
    <x v="0"/>
    <x v="632"/>
  </r>
  <r>
    <n v="1050"/>
    <d v="2023-08-21T00:00:00"/>
    <x v="7"/>
    <s v="David"/>
    <x v="0"/>
    <n v="9976.52"/>
    <n v="17"/>
    <x v="1"/>
    <n v="2346.8000000000002"/>
    <n v="2654.65"/>
    <s v="New"/>
    <x v="29"/>
    <s v="Cash"/>
    <x v="1"/>
    <x v="19"/>
    <n v="39262.273500000003"/>
    <x v="633"/>
    <x v="1"/>
    <x v="633"/>
  </r>
  <r>
    <n v="1080"/>
    <d v="2023-08-21T00:00:00"/>
    <x v="7"/>
    <s v="David"/>
    <x v="1"/>
    <n v="5677.74"/>
    <n v="12"/>
    <x v="2"/>
    <n v="2316.13"/>
    <n v="2525.27"/>
    <s v="Returning"/>
    <x v="7"/>
    <s v="Credit Card"/>
    <x v="1"/>
    <x v="3"/>
    <n v="26666.851199999997"/>
    <x v="634"/>
    <x v="1"/>
    <x v="634"/>
  </r>
  <r>
    <n v="1092"/>
    <d v="2023-08-22T00:00:00"/>
    <x v="7"/>
    <s v="David"/>
    <x v="3"/>
    <n v="6250.8"/>
    <n v="29"/>
    <x v="0"/>
    <n v="1742.24"/>
    <n v="2070.52"/>
    <s v="New"/>
    <x v="7"/>
    <s v="Cash"/>
    <x v="0"/>
    <x v="12"/>
    <n v="52839.670400000003"/>
    <x v="635"/>
    <x v="0"/>
    <x v="635"/>
  </r>
  <r>
    <n v="1027"/>
    <d v="2023-08-23T00:00:00"/>
    <x v="7"/>
    <s v="Bob"/>
    <x v="3"/>
    <n v="4036.36"/>
    <n v="4"/>
    <x v="2"/>
    <n v="282.61"/>
    <n v="548.25"/>
    <s v="New"/>
    <x v="15"/>
    <s v="Credit Card"/>
    <x v="0"/>
    <x v="5"/>
    <n v="1820.1899999999998"/>
    <x v="636"/>
    <x v="0"/>
    <x v="636"/>
  </r>
  <r>
    <n v="1036"/>
    <d v="2023-08-23T00:00:00"/>
    <x v="7"/>
    <s v="David"/>
    <x v="3"/>
    <n v="8167.9"/>
    <n v="25"/>
    <x v="3"/>
    <n v="2520.9699999999998"/>
    <n v="2707.1099999999901"/>
    <s v="New"/>
    <x v="2"/>
    <s v="Cash"/>
    <x v="1"/>
    <x v="12"/>
    <n v="50758.312499999818"/>
    <x v="637"/>
    <x v="1"/>
    <x v="637"/>
  </r>
  <r>
    <n v="1072"/>
    <d v="2023-08-24T00:00:00"/>
    <x v="7"/>
    <s v="Bob"/>
    <x v="1"/>
    <n v="2167.94"/>
    <n v="39"/>
    <x v="0"/>
    <n v="4330.03"/>
    <n v="4467.75"/>
    <s v="New"/>
    <x v="21"/>
    <s v="Credit Card"/>
    <x v="1"/>
    <x v="8"/>
    <n v="170757.40499999997"/>
    <x v="638"/>
    <x v="0"/>
    <x v="638"/>
  </r>
  <r>
    <n v="1080"/>
    <d v="2023-08-24T00:00:00"/>
    <x v="7"/>
    <s v="Bob"/>
    <x v="2"/>
    <n v="1493.95"/>
    <n v="17"/>
    <x v="1"/>
    <n v="2742.67"/>
    <n v="2979.64"/>
    <s v="Returning"/>
    <x v="18"/>
    <s v="Cash"/>
    <x v="1"/>
    <x v="18"/>
    <n v="50147.341199999995"/>
    <x v="639"/>
    <x v="0"/>
    <x v="639"/>
  </r>
  <r>
    <n v="1075"/>
    <d v="2023-08-24T00:00:00"/>
    <x v="7"/>
    <s v="Charlie"/>
    <x v="2"/>
    <n v="2301.38"/>
    <n v="42"/>
    <x v="0"/>
    <n v="967.77"/>
    <n v="1414.88"/>
    <s v="New"/>
    <x v="15"/>
    <s v="Bank Transfer"/>
    <x v="0"/>
    <x v="14"/>
    <n v="49322.716800000002"/>
    <x v="640"/>
    <x v="0"/>
    <x v="640"/>
  </r>
  <r>
    <n v="1089"/>
    <d v="2023-08-24T00:00:00"/>
    <x v="7"/>
    <s v="Eve"/>
    <x v="0"/>
    <n v="2528.9899999999998"/>
    <n v="4"/>
    <x v="1"/>
    <n v="4231.75"/>
    <n v="4727.75"/>
    <s v="Returning"/>
    <x v="7"/>
    <s v="Credit Card"/>
    <x v="1"/>
    <x v="0"/>
    <n v="16641.68"/>
    <x v="641"/>
    <x v="1"/>
    <x v="641"/>
  </r>
  <r>
    <n v="1095"/>
    <d v="2023-08-24T00:00:00"/>
    <x v="7"/>
    <s v="Bob"/>
    <x v="2"/>
    <n v="2825.35"/>
    <n v="20"/>
    <x v="3"/>
    <n v="729.27"/>
    <n v="999.18"/>
    <s v="New"/>
    <x v="8"/>
    <s v="Bank Transfer"/>
    <x v="0"/>
    <x v="18"/>
    <n v="17985.239999999998"/>
    <x v="642"/>
    <x v="0"/>
    <x v="642"/>
  </r>
  <r>
    <n v="1079"/>
    <d v="2023-08-24T00:00:00"/>
    <x v="7"/>
    <s v="Alice"/>
    <x v="0"/>
    <n v="9972.66"/>
    <n v="8"/>
    <x v="0"/>
    <n v="3808.23"/>
    <n v="3891.62"/>
    <s v="Returning"/>
    <x v="12"/>
    <s v="Bank Transfer"/>
    <x v="0"/>
    <x v="13"/>
    <n v="23038.3904"/>
    <x v="643"/>
    <x v="1"/>
    <x v="643"/>
  </r>
  <r>
    <n v="1041"/>
    <d v="2023-08-25T00:00:00"/>
    <x v="7"/>
    <s v="Bob"/>
    <x v="1"/>
    <n v="854.77"/>
    <n v="31"/>
    <x v="3"/>
    <n v="1604.52"/>
    <n v="1756.34"/>
    <s v="Returning"/>
    <x v="15"/>
    <s v="Cash"/>
    <x v="1"/>
    <x v="8"/>
    <n v="45190.628199999999"/>
    <x v="644"/>
    <x v="1"/>
    <x v="644"/>
  </r>
  <r>
    <n v="1024"/>
    <d v="2023-08-25T00:00:00"/>
    <x v="7"/>
    <s v="David"/>
    <x v="1"/>
    <n v="1221.7"/>
    <n v="42"/>
    <x v="2"/>
    <n v="1586.02"/>
    <n v="2047.13"/>
    <s v="New"/>
    <x v="2"/>
    <s v="Cash"/>
    <x v="1"/>
    <x v="3"/>
    <n v="64484.595000000001"/>
    <x v="645"/>
    <x v="1"/>
    <x v="645"/>
  </r>
  <r>
    <n v="1032"/>
    <d v="2023-08-25T00:00:00"/>
    <x v="7"/>
    <s v="Bob"/>
    <x v="0"/>
    <n v="8841.64"/>
    <n v="23"/>
    <x v="2"/>
    <n v="4673.1899999999996"/>
    <n v="4761.1799999999903"/>
    <s v="Returning"/>
    <x v="15"/>
    <s v="Credit Card"/>
    <x v="1"/>
    <x v="10"/>
    <n v="90890.926199999813"/>
    <x v="646"/>
    <x v="1"/>
    <x v="646"/>
  </r>
  <r>
    <n v="1072"/>
    <d v="2023-08-25T00:00:00"/>
    <x v="7"/>
    <s v="Charlie"/>
    <x v="1"/>
    <n v="2490.86"/>
    <n v="12"/>
    <x v="3"/>
    <n v="1517.4"/>
    <n v="1545.02"/>
    <s v="New"/>
    <x v="11"/>
    <s v="Bank Transfer"/>
    <x v="1"/>
    <x v="17"/>
    <n v="17984.032800000001"/>
    <x v="647"/>
    <x v="1"/>
    <x v="647"/>
  </r>
  <r>
    <n v="1099"/>
    <d v="2023-08-26T00:00:00"/>
    <x v="7"/>
    <s v="David"/>
    <x v="2"/>
    <n v="1934.18"/>
    <n v="17"/>
    <x v="3"/>
    <n v="2471.73"/>
    <n v="2568.73"/>
    <s v="New"/>
    <x v="0"/>
    <s v="Cash"/>
    <x v="1"/>
    <x v="4"/>
    <n v="41484.989499999996"/>
    <x v="648"/>
    <x v="1"/>
    <x v="648"/>
  </r>
  <r>
    <n v="1008"/>
    <d v="2023-08-27T00:00:00"/>
    <x v="7"/>
    <s v="David"/>
    <x v="1"/>
    <n v="4432.8500000000004"/>
    <n v="40"/>
    <x v="0"/>
    <n v="2687.49"/>
    <n v="3001.56"/>
    <s v="Returning"/>
    <x v="12"/>
    <s v="Bank Transfer"/>
    <x v="0"/>
    <x v="3"/>
    <n v="88846.175999999992"/>
    <x v="649"/>
    <x v="1"/>
    <x v="649"/>
  </r>
  <r>
    <n v="1019"/>
    <d v="2023-08-27T00:00:00"/>
    <x v="7"/>
    <s v="Charlie"/>
    <x v="0"/>
    <n v="2558.92"/>
    <n v="18"/>
    <x v="3"/>
    <n v="3591.14"/>
    <n v="3822.99"/>
    <s v="Returning"/>
    <x v="26"/>
    <s v="Credit Card"/>
    <x v="0"/>
    <x v="1"/>
    <n v="62620.576200000003"/>
    <x v="650"/>
    <x v="1"/>
    <x v="650"/>
  </r>
  <r>
    <n v="1021"/>
    <d v="2023-08-27T00:00:00"/>
    <x v="7"/>
    <s v="Eve"/>
    <x v="0"/>
    <n v="671.55"/>
    <n v="19"/>
    <x v="0"/>
    <n v="444.05"/>
    <n v="584.44000000000005"/>
    <s v="Returning"/>
    <x v="27"/>
    <s v="Cash"/>
    <x v="1"/>
    <x v="0"/>
    <n v="7995.1392000000005"/>
    <x v="651"/>
    <x v="1"/>
    <x v="651"/>
  </r>
  <r>
    <n v="1099"/>
    <d v="2023-08-29T00:00:00"/>
    <x v="7"/>
    <s v="Alice"/>
    <x v="2"/>
    <n v="4567.8100000000004"/>
    <n v="44"/>
    <x v="0"/>
    <n v="4933.1099999999997"/>
    <n v="5245.86"/>
    <s v="Returning"/>
    <x v="29"/>
    <s v="Bank Transfer"/>
    <x v="1"/>
    <x v="16"/>
    <n v="200811.5208"/>
    <x v="652"/>
    <x v="1"/>
    <x v="652"/>
  </r>
  <r>
    <n v="1042"/>
    <d v="2023-08-29T00:00:00"/>
    <x v="7"/>
    <s v="Eve"/>
    <x v="1"/>
    <n v="3955.11"/>
    <n v="27"/>
    <x v="0"/>
    <n v="1139.45"/>
    <n v="1454.41"/>
    <s v="Returning"/>
    <x v="13"/>
    <s v="Bank Transfer"/>
    <x v="0"/>
    <x v="2"/>
    <n v="27488.348999999998"/>
    <x v="653"/>
    <x v="1"/>
    <x v="653"/>
  </r>
  <r>
    <n v="1033"/>
    <d v="2023-08-30T00:00:00"/>
    <x v="7"/>
    <s v="Bob"/>
    <x v="3"/>
    <n v="6577.99"/>
    <n v="14"/>
    <x v="3"/>
    <n v="504.3"/>
    <n v="735.95"/>
    <s v="Returning"/>
    <x v="5"/>
    <s v="Cash"/>
    <x v="1"/>
    <x v="5"/>
    <n v="8139.6070000000009"/>
    <x v="654"/>
    <x v="0"/>
    <x v="654"/>
  </r>
  <r>
    <n v="1077"/>
    <d v="2023-08-30T00:00:00"/>
    <x v="7"/>
    <s v="Alice"/>
    <x v="2"/>
    <n v="8660.1200000000008"/>
    <n v="25"/>
    <x v="2"/>
    <n v="61.5"/>
    <n v="258.91999999999899"/>
    <s v="New"/>
    <x v="15"/>
    <s v="Credit Card"/>
    <x v="0"/>
    <x v="16"/>
    <n v="5372.5899999999792"/>
    <x v="655"/>
    <x v="0"/>
    <x v="655"/>
  </r>
  <r>
    <n v="1059"/>
    <d v="2023-08-31T00:00:00"/>
    <x v="7"/>
    <s v="Alice"/>
    <x v="0"/>
    <n v="1203.97"/>
    <n v="35"/>
    <x v="3"/>
    <n v="3333.64"/>
    <n v="3764.52"/>
    <s v="Returning"/>
    <x v="21"/>
    <s v="Credit Card"/>
    <x v="0"/>
    <x v="13"/>
    <n v="129123.03600000001"/>
    <x v="656"/>
    <x v="0"/>
    <x v="656"/>
  </r>
  <r>
    <n v="1092"/>
    <d v="2023-08-31T00:00:00"/>
    <x v="7"/>
    <s v="Eve"/>
    <x v="1"/>
    <n v="9203.36"/>
    <n v="47"/>
    <x v="3"/>
    <n v="4284.9799999999996"/>
    <n v="4462.3999999999996"/>
    <s v="New"/>
    <x v="27"/>
    <s v="Credit Card"/>
    <x v="1"/>
    <x v="2"/>
    <n v="151007.61599999998"/>
    <x v="657"/>
    <x v="1"/>
    <x v="657"/>
  </r>
  <r>
    <n v="1028"/>
    <d v="2023-08-31T00:00:00"/>
    <x v="7"/>
    <s v="Eve"/>
    <x v="0"/>
    <n v="5403"/>
    <n v="28"/>
    <x v="1"/>
    <n v="2055.2800000000002"/>
    <n v="2449.64"/>
    <s v="New"/>
    <x v="28"/>
    <s v="Credit Card"/>
    <x v="0"/>
    <x v="0"/>
    <n v="55557.835200000001"/>
    <x v="658"/>
    <x v="1"/>
    <x v="658"/>
  </r>
  <r>
    <n v="1026"/>
    <d v="2023-08-31T00:00:00"/>
    <x v="7"/>
    <s v="Alice"/>
    <x v="3"/>
    <n v="3784.52"/>
    <n v="25"/>
    <x v="2"/>
    <n v="1156.8800000000001"/>
    <n v="1454.68"/>
    <s v="Returning"/>
    <x v="22"/>
    <s v="Credit Card"/>
    <x v="0"/>
    <x v="9"/>
    <n v="34184.980000000003"/>
    <x v="659"/>
    <x v="0"/>
    <x v="659"/>
  </r>
  <r>
    <n v="1018"/>
    <d v="2023-08-31T00:00:00"/>
    <x v="7"/>
    <s v="Alice"/>
    <x v="3"/>
    <n v="2260.25"/>
    <n v="1"/>
    <x v="2"/>
    <n v="2315.83"/>
    <n v="2333.19"/>
    <s v="New"/>
    <x v="18"/>
    <s v="Cash"/>
    <x v="1"/>
    <x v="9"/>
    <n v="2309.8580999999999"/>
    <x v="660"/>
    <x v="1"/>
    <x v="660"/>
  </r>
  <r>
    <n v="1086"/>
    <d v="2023-09-01T00:00:00"/>
    <x v="8"/>
    <s v="Charlie"/>
    <x v="2"/>
    <n v="5437.04"/>
    <n v="17"/>
    <x v="2"/>
    <n v="4075.08"/>
    <n v="4262.21"/>
    <s v="New"/>
    <x v="15"/>
    <s v="Cash"/>
    <x v="0"/>
    <x v="14"/>
    <n v="60139.783099999993"/>
    <x v="661"/>
    <x v="1"/>
    <x v="661"/>
  </r>
  <r>
    <n v="1019"/>
    <d v="2023-09-01T00:00:00"/>
    <x v="8"/>
    <s v="David"/>
    <x v="2"/>
    <n v="2550.84"/>
    <n v="16"/>
    <x v="0"/>
    <n v="97.24"/>
    <n v="487.03"/>
    <s v="New"/>
    <x v="23"/>
    <s v="Bank Transfer"/>
    <x v="1"/>
    <x v="4"/>
    <n v="6078.1343999999999"/>
    <x v="662"/>
    <x v="0"/>
    <x v="662"/>
  </r>
  <r>
    <n v="1058"/>
    <d v="2023-09-02T00:00:00"/>
    <x v="8"/>
    <s v="David"/>
    <x v="1"/>
    <n v="1142.92"/>
    <n v="9"/>
    <x v="1"/>
    <n v="760.55"/>
    <n v="1086.8899999999901"/>
    <s v="Returning"/>
    <x v="20"/>
    <s v="Cash"/>
    <x v="1"/>
    <x v="3"/>
    <n v="8314.7084999999242"/>
    <x v="663"/>
    <x v="0"/>
    <x v="663"/>
  </r>
  <r>
    <n v="1023"/>
    <d v="2023-09-03T00:00:00"/>
    <x v="8"/>
    <s v="David"/>
    <x v="1"/>
    <n v="4285.01"/>
    <n v="32"/>
    <x v="2"/>
    <n v="4775.04"/>
    <n v="4785.66"/>
    <s v="New"/>
    <x v="11"/>
    <s v="Cash"/>
    <x v="0"/>
    <x v="3"/>
    <n v="148546.88639999999"/>
    <x v="664"/>
    <x v="1"/>
    <x v="664"/>
  </r>
  <r>
    <n v="1055"/>
    <d v="2023-09-03T00:00:00"/>
    <x v="8"/>
    <s v="Charlie"/>
    <x v="2"/>
    <n v="7169.12"/>
    <n v="12"/>
    <x v="2"/>
    <n v="2538.61"/>
    <n v="2971.75"/>
    <s v="Returning"/>
    <x v="6"/>
    <s v="Cash"/>
    <x v="0"/>
    <x v="14"/>
    <n v="27102.36"/>
    <x v="665"/>
    <x v="1"/>
    <x v="665"/>
  </r>
  <r>
    <n v="1091"/>
    <d v="2023-09-04T00:00:00"/>
    <x v="8"/>
    <s v="Charlie"/>
    <x v="1"/>
    <n v="675.11"/>
    <n v="44"/>
    <x v="3"/>
    <n v="2085.46"/>
    <n v="2406.58"/>
    <s v="Returning"/>
    <x v="22"/>
    <s v="Bank Transfer"/>
    <x v="1"/>
    <x v="17"/>
    <n v="99536.148799999995"/>
    <x v="666"/>
    <x v="0"/>
    <x v="666"/>
  </r>
  <r>
    <n v="1068"/>
    <d v="2023-09-04T00:00:00"/>
    <x v="8"/>
    <s v="Eve"/>
    <x v="3"/>
    <n v="3905.11"/>
    <n v="14"/>
    <x v="3"/>
    <n v="1140.58"/>
    <n v="1438.76"/>
    <s v="Returning"/>
    <x v="11"/>
    <s v="Bank Transfer"/>
    <x v="0"/>
    <x v="7"/>
    <n v="19538.360799999999"/>
    <x v="667"/>
    <x v="0"/>
    <x v="667"/>
  </r>
  <r>
    <n v="1081"/>
    <d v="2023-09-04T00:00:00"/>
    <x v="8"/>
    <s v="Alice"/>
    <x v="0"/>
    <n v="7215.52"/>
    <n v="23"/>
    <x v="2"/>
    <n v="1236.25"/>
    <n v="1543.38"/>
    <s v="New"/>
    <x v="8"/>
    <s v="Bank Transfer"/>
    <x v="0"/>
    <x v="13"/>
    <n v="31947.966000000004"/>
    <x v="668"/>
    <x v="0"/>
    <x v="668"/>
  </r>
  <r>
    <n v="1020"/>
    <d v="2023-09-06T00:00:00"/>
    <x v="8"/>
    <s v="Charlie"/>
    <x v="3"/>
    <n v="9705.5499999999993"/>
    <n v="4"/>
    <x v="0"/>
    <n v="3730"/>
    <n v="3893.6"/>
    <s v="New"/>
    <x v="2"/>
    <s v="Bank Transfer"/>
    <x v="1"/>
    <x v="6"/>
    <n v="11680.8"/>
    <x v="669"/>
    <x v="1"/>
    <x v="669"/>
  </r>
  <r>
    <n v="1020"/>
    <d v="2023-09-06T00:00:00"/>
    <x v="8"/>
    <s v="Bob"/>
    <x v="3"/>
    <n v="1958.45"/>
    <n v="45"/>
    <x v="0"/>
    <n v="2188.4499999999998"/>
    <n v="2255.0499999999902"/>
    <s v="New"/>
    <x v="16"/>
    <s v="Bank Transfer"/>
    <x v="1"/>
    <x v="5"/>
    <n v="90314.752499999609"/>
    <x v="670"/>
    <x v="1"/>
    <x v="670"/>
  </r>
  <r>
    <n v="1013"/>
    <d v="2023-09-07T00:00:00"/>
    <x v="8"/>
    <s v="Alice"/>
    <x v="2"/>
    <n v="7413.36"/>
    <n v="16"/>
    <x v="1"/>
    <n v="919.58"/>
    <n v="1258.3"/>
    <s v="Returning"/>
    <x v="1"/>
    <s v="Bank Transfer"/>
    <x v="0"/>
    <x v="16"/>
    <n v="17314.207999999999"/>
    <x v="671"/>
    <x v="0"/>
    <x v="671"/>
  </r>
  <r>
    <n v="1019"/>
    <d v="2023-09-07T00:00:00"/>
    <x v="8"/>
    <s v="Bob"/>
    <x v="2"/>
    <n v="6882.83"/>
    <n v="27"/>
    <x v="2"/>
    <n v="2387.52"/>
    <n v="2604.06"/>
    <s v="Returning"/>
    <x v="25"/>
    <s v="Cash"/>
    <x v="0"/>
    <x v="18"/>
    <n v="59060.080799999996"/>
    <x v="672"/>
    <x v="1"/>
    <x v="672"/>
  </r>
  <r>
    <n v="1067"/>
    <d v="2023-09-07T00:00:00"/>
    <x v="8"/>
    <s v="Bob"/>
    <x v="0"/>
    <n v="4716.3599999999997"/>
    <n v="37"/>
    <x v="0"/>
    <n v="1754.32"/>
    <n v="1856.3999999999901"/>
    <s v="New"/>
    <x v="5"/>
    <s v="Bank Transfer"/>
    <x v="1"/>
    <x v="10"/>
    <n v="54262.571999999716"/>
    <x v="673"/>
    <x v="1"/>
    <x v="673"/>
  </r>
  <r>
    <n v="1020"/>
    <d v="2023-09-08T00:00:00"/>
    <x v="8"/>
    <s v="Eve"/>
    <x v="0"/>
    <n v="9733.4699999999993"/>
    <n v="26"/>
    <x v="0"/>
    <n v="4472.3500000000004"/>
    <n v="4770.42"/>
    <s v="New"/>
    <x v="18"/>
    <s v="Credit Card"/>
    <x v="1"/>
    <x v="0"/>
    <n v="122790.61079999999"/>
    <x v="674"/>
    <x v="0"/>
    <x v="674"/>
  </r>
  <r>
    <n v="1087"/>
    <d v="2023-09-08T00:00:00"/>
    <x v="8"/>
    <s v="Charlie"/>
    <x v="0"/>
    <n v="119.72"/>
    <n v="20"/>
    <x v="0"/>
    <n v="193.27"/>
    <n v="297.69"/>
    <s v="New"/>
    <x v="23"/>
    <s v="Cash"/>
    <x v="0"/>
    <x v="1"/>
    <n v="4643.9639999999999"/>
    <x v="675"/>
    <x v="0"/>
    <x v="675"/>
  </r>
  <r>
    <n v="1089"/>
    <d v="2023-09-08T00:00:00"/>
    <x v="8"/>
    <s v="Bob"/>
    <x v="2"/>
    <n v="5228.28"/>
    <n v="40"/>
    <x v="1"/>
    <n v="4089.66"/>
    <n v="4275.96"/>
    <s v="New"/>
    <x v="24"/>
    <s v="Credit Card"/>
    <x v="0"/>
    <x v="18"/>
    <n v="131699.568"/>
    <x v="676"/>
    <x v="1"/>
    <x v="676"/>
  </r>
  <r>
    <n v="1005"/>
    <d v="2023-09-08T00:00:00"/>
    <x v="8"/>
    <s v="Eve"/>
    <x v="0"/>
    <n v="7103.23"/>
    <n v="9"/>
    <x v="2"/>
    <n v="4737.0600000000004"/>
    <n v="4869.5"/>
    <s v="New"/>
    <x v="9"/>
    <s v="Cash"/>
    <x v="0"/>
    <x v="0"/>
    <n v="40757.714999999997"/>
    <x v="677"/>
    <x v="1"/>
    <x v="677"/>
  </r>
  <r>
    <n v="1046"/>
    <d v="2023-09-08T00:00:00"/>
    <x v="8"/>
    <s v="Alice"/>
    <x v="0"/>
    <n v="8398.48"/>
    <n v="30"/>
    <x v="1"/>
    <n v="320.73"/>
    <n v="678.04"/>
    <s v="Returning"/>
    <x v="19"/>
    <s v="Cash"/>
    <x v="1"/>
    <x v="13"/>
    <n v="18713.903999999999"/>
    <x v="678"/>
    <x v="0"/>
    <x v="678"/>
  </r>
  <r>
    <n v="1096"/>
    <d v="2023-09-11T00:00:00"/>
    <x v="8"/>
    <s v="Eve"/>
    <x v="1"/>
    <n v="7597.37"/>
    <n v="23"/>
    <x v="2"/>
    <n v="608.57000000000005"/>
    <n v="1032.22"/>
    <s v="New"/>
    <x v="2"/>
    <s v="Cash"/>
    <x v="1"/>
    <x v="2"/>
    <n v="17805.794999999998"/>
    <x v="679"/>
    <x v="0"/>
    <x v="679"/>
  </r>
  <r>
    <n v="1003"/>
    <d v="2023-09-11T00:00:00"/>
    <x v="8"/>
    <s v="David"/>
    <x v="3"/>
    <n v="9514.19"/>
    <n v="22"/>
    <x v="3"/>
    <n v="4218.43"/>
    <n v="4331.42"/>
    <s v="New"/>
    <x v="12"/>
    <s v="Bank Transfer"/>
    <x v="0"/>
    <x v="12"/>
    <n v="70515.517599999992"/>
    <x v="680"/>
    <x v="1"/>
    <x v="680"/>
  </r>
  <r>
    <n v="1014"/>
    <d v="2023-09-12T00:00:00"/>
    <x v="8"/>
    <s v="Charlie"/>
    <x v="3"/>
    <n v="8406.07"/>
    <n v="48"/>
    <x v="1"/>
    <n v="556.72"/>
    <n v="665.07"/>
    <s v="Returning"/>
    <x v="18"/>
    <s v="Bank Transfer"/>
    <x v="1"/>
    <x v="6"/>
    <n v="31604.126400000001"/>
    <x v="681"/>
    <x v="0"/>
    <x v="681"/>
  </r>
  <r>
    <n v="1037"/>
    <d v="2023-09-13T00:00:00"/>
    <x v="8"/>
    <s v="Bob"/>
    <x v="1"/>
    <n v="2929.01"/>
    <n v="5"/>
    <x v="1"/>
    <n v="1941.56"/>
    <n v="2385.48"/>
    <s v="Returning"/>
    <x v="20"/>
    <s v="Credit Card"/>
    <x v="0"/>
    <x v="8"/>
    <n v="10138.289999999999"/>
    <x v="682"/>
    <x v="0"/>
    <x v="682"/>
  </r>
  <r>
    <n v="1001"/>
    <d v="2023-09-14T00:00:00"/>
    <x v="8"/>
    <s v="Eve"/>
    <x v="1"/>
    <n v="2126.33"/>
    <n v="39"/>
    <x v="3"/>
    <n v="2437.2600000000002"/>
    <n v="2889.67"/>
    <s v="Returning"/>
    <x v="2"/>
    <s v="Cash"/>
    <x v="0"/>
    <x v="2"/>
    <n v="84522.847500000003"/>
    <x v="683"/>
    <x v="1"/>
    <x v="683"/>
  </r>
  <r>
    <n v="1090"/>
    <d v="2023-09-14T00:00:00"/>
    <x v="8"/>
    <s v="Charlie"/>
    <x v="2"/>
    <n v="7122.28"/>
    <n v="47"/>
    <x v="0"/>
    <n v="2357.9499999999998"/>
    <n v="2693.33"/>
    <s v="New"/>
    <x v="30"/>
    <s v="Bank Transfer"/>
    <x v="0"/>
    <x v="14"/>
    <n v="103800.9382"/>
    <x v="684"/>
    <x v="1"/>
    <x v="684"/>
  </r>
  <r>
    <n v="1003"/>
    <d v="2023-09-14T00:00:00"/>
    <x v="8"/>
    <s v="Bob"/>
    <x v="2"/>
    <n v="3755.88"/>
    <n v="15"/>
    <x v="0"/>
    <n v="3286.24"/>
    <n v="3388.8399999999901"/>
    <s v="Returning"/>
    <x v="26"/>
    <s v="Credit Card"/>
    <x v="1"/>
    <x v="18"/>
    <n v="46257.665999999866"/>
    <x v="685"/>
    <x v="1"/>
    <x v="685"/>
  </r>
  <r>
    <n v="1074"/>
    <d v="2023-09-14T00:00:00"/>
    <x v="8"/>
    <s v="David"/>
    <x v="1"/>
    <n v="8389.93"/>
    <n v="29"/>
    <x v="1"/>
    <n v="173.67"/>
    <n v="565.62"/>
    <s v="Returning"/>
    <x v="13"/>
    <s v="Cash"/>
    <x v="0"/>
    <x v="3"/>
    <n v="11482.085999999999"/>
    <x v="686"/>
    <x v="0"/>
    <x v="686"/>
  </r>
  <r>
    <n v="1054"/>
    <d v="2023-09-15T00:00:00"/>
    <x v="8"/>
    <s v="Bob"/>
    <x v="1"/>
    <n v="2509.63"/>
    <n v="16"/>
    <x v="2"/>
    <n v="4557.79"/>
    <n v="5043.3599999999997"/>
    <s v="Returning"/>
    <x v="1"/>
    <s v="Credit Card"/>
    <x v="1"/>
    <x v="8"/>
    <n v="69396.633600000001"/>
    <x v="687"/>
    <x v="1"/>
    <x v="687"/>
  </r>
  <r>
    <n v="1006"/>
    <d v="2023-09-16T00:00:00"/>
    <x v="8"/>
    <s v="Bob"/>
    <x v="0"/>
    <n v="8995.75"/>
    <n v="49"/>
    <x v="3"/>
    <n v="2843.76"/>
    <n v="3146.6"/>
    <s v="New"/>
    <x v="19"/>
    <s v="Cash"/>
    <x v="1"/>
    <x v="10"/>
    <n v="141848.728"/>
    <x v="688"/>
    <x v="0"/>
    <x v="688"/>
  </r>
  <r>
    <n v="1012"/>
    <d v="2023-09-16T00:00:00"/>
    <x v="8"/>
    <s v="David"/>
    <x v="1"/>
    <n v="1916.08"/>
    <n v="19"/>
    <x v="2"/>
    <n v="1427.42"/>
    <n v="1763.69"/>
    <s v="New"/>
    <x v="11"/>
    <s v="Cash"/>
    <x v="1"/>
    <x v="3"/>
    <n v="32504.806699999997"/>
    <x v="689"/>
    <x v="0"/>
    <x v="689"/>
  </r>
  <r>
    <n v="1100"/>
    <d v="2023-09-17T00:00:00"/>
    <x v="8"/>
    <s v="Charlie"/>
    <x v="0"/>
    <n v="4795.12"/>
    <n v="17"/>
    <x v="2"/>
    <n v="83.64"/>
    <n v="528.49"/>
    <s v="New"/>
    <x v="29"/>
    <s v="Credit Card"/>
    <x v="0"/>
    <x v="1"/>
    <n v="7816.3670999999995"/>
    <x v="690"/>
    <x v="0"/>
    <x v="690"/>
  </r>
  <r>
    <n v="1093"/>
    <d v="2023-09-18T00:00:00"/>
    <x v="8"/>
    <s v="David"/>
    <x v="2"/>
    <n v="4040.25"/>
    <n v="19"/>
    <x v="2"/>
    <n v="3808.59"/>
    <n v="3844.51"/>
    <s v="New"/>
    <x v="5"/>
    <s v="Credit Card"/>
    <x v="0"/>
    <x v="4"/>
    <n v="57706.095100000006"/>
    <x v="691"/>
    <x v="1"/>
    <x v="691"/>
  </r>
  <r>
    <n v="1057"/>
    <d v="2023-09-18T00:00:00"/>
    <x v="8"/>
    <s v="Charlie"/>
    <x v="2"/>
    <n v="7315.73"/>
    <n v="25"/>
    <x v="3"/>
    <n v="1821.91"/>
    <n v="2027.74"/>
    <s v="New"/>
    <x v="21"/>
    <s v="Bank Transfer"/>
    <x v="1"/>
    <x v="14"/>
    <n v="49679.63"/>
    <x v="692"/>
    <x v="0"/>
    <x v="692"/>
  </r>
  <r>
    <n v="1006"/>
    <d v="2023-09-18T00:00:00"/>
    <x v="8"/>
    <s v="David"/>
    <x v="2"/>
    <n v="776.7"/>
    <n v="45"/>
    <x v="1"/>
    <n v="1623.63"/>
    <n v="1814.63"/>
    <s v="New"/>
    <x v="14"/>
    <s v="Bank Transfer"/>
    <x v="1"/>
    <x v="4"/>
    <n v="57977.428500000002"/>
    <x v="693"/>
    <x v="1"/>
    <x v="693"/>
  </r>
  <r>
    <n v="1085"/>
    <d v="2023-09-18T00:00:00"/>
    <x v="8"/>
    <s v="Eve"/>
    <x v="3"/>
    <n v="4716.47"/>
    <n v="40"/>
    <x v="0"/>
    <n v="4083.23"/>
    <n v="4521.57"/>
    <s v="New"/>
    <x v="10"/>
    <s v="Bank Transfer"/>
    <x v="1"/>
    <x v="7"/>
    <n v="132029.84399999998"/>
    <x v="694"/>
    <x v="1"/>
    <x v="694"/>
  </r>
  <r>
    <n v="1008"/>
    <d v="2023-09-18T00:00:00"/>
    <x v="8"/>
    <s v="Charlie"/>
    <x v="1"/>
    <n v="7688.5"/>
    <n v="32"/>
    <x v="3"/>
    <n v="921.32"/>
    <n v="1236.0999999999999"/>
    <s v="New"/>
    <x v="7"/>
    <s v="Credit Card"/>
    <x v="0"/>
    <x v="17"/>
    <n v="34808.576000000001"/>
    <x v="695"/>
    <x v="0"/>
    <x v="695"/>
  </r>
  <r>
    <n v="1025"/>
    <d v="2023-09-19T00:00:00"/>
    <x v="8"/>
    <s v="Alice"/>
    <x v="3"/>
    <n v="8564.24"/>
    <n v="26"/>
    <x v="2"/>
    <n v="2007.32"/>
    <n v="2202.87"/>
    <s v="Returning"/>
    <x v="16"/>
    <s v="Cash"/>
    <x v="0"/>
    <x v="9"/>
    <n v="50974.411800000002"/>
    <x v="696"/>
    <x v="1"/>
    <x v="696"/>
  </r>
  <r>
    <n v="1039"/>
    <d v="2023-09-19T00:00:00"/>
    <x v="8"/>
    <s v="Bob"/>
    <x v="1"/>
    <n v="4306.0200000000004"/>
    <n v="28"/>
    <x v="0"/>
    <n v="666.84"/>
    <n v="817.36"/>
    <s v="Returning"/>
    <x v="21"/>
    <s v="Cash"/>
    <x v="1"/>
    <x v="8"/>
    <n v="22428.358399999997"/>
    <x v="697"/>
    <x v="0"/>
    <x v="697"/>
  </r>
  <r>
    <n v="1037"/>
    <d v="2023-09-19T00:00:00"/>
    <x v="8"/>
    <s v="Alice"/>
    <x v="1"/>
    <n v="4606.2"/>
    <n v="17"/>
    <x v="2"/>
    <n v="1308.58"/>
    <n v="1575.59"/>
    <s v="New"/>
    <x v="13"/>
    <s v="Cash"/>
    <x v="0"/>
    <x v="15"/>
    <n v="18749.520999999997"/>
    <x v="698"/>
    <x v="1"/>
    <x v="698"/>
  </r>
  <r>
    <n v="1019"/>
    <d v="2023-09-19T00:00:00"/>
    <x v="8"/>
    <s v="Charlie"/>
    <x v="2"/>
    <n v="6705.4"/>
    <n v="45"/>
    <x v="0"/>
    <n v="2590.64"/>
    <n v="3036.18"/>
    <s v="New"/>
    <x v="0"/>
    <s v="Bank Transfer"/>
    <x v="1"/>
    <x v="14"/>
    <n v="129796.69499999998"/>
    <x v="699"/>
    <x v="0"/>
    <x v="699"/>
  </r>
  <r>
    <n v="1097"/>
    <d v="2023-09-20T00:00:00"/>
    <x v="8"/>
    <s v="David"/>
    <x v="0"/>
    <n v="6759.76"/>
    <n v="45"/>
    <x v="0"/>
    <n v="1525.13"/>
    <n v="1868.32"/>
    <s v="Returning"/>
    <x v="6"/>
    <s v="Cash"/>
    <x v="1"/>
    <x v="19"/>
    <n v="63896.543999999994"/>
    <x v="700"/>
    <x v="1"/>
    <x v="700"/>
  </r>
  <r>
    <n v="1015"/>
    <d v="2023-09-21T00:00:00"/>
    <x v="8"/>
    <s v="David"/>
    <x v="1"/>
    <n v="4631.2299999999996"/>
    <n v="30"/>
    <x v="3"/>
    <n v="261.56"/>
    <n v="371.4"/>
    <s v="Returning"/>
    <x v="3"/>
    <s v="Bank Transfer"/>
    <x v="1"/>
    <x v="3"/>
    <n v="8913.6"/>
    <x v="701"/>
    <x v="0"/>
    <x v="701"/>
  </r>
  <r>
    <n v="1084"/>
    <d v="2023-09-21T00:00:00"/>
    <x v="8"/>
    <s v="Eve"/>
    <x v="1"/>
    <n v="2813.31"/>
    <n v="36"/>
    <x v="1"/>
    <n v="1458.77"/>
    <n v="1485.75"/>
    <s v="New"/>
    <x v="2"/>
    <s v="Credit Card"/>
    <x v="0"/>
    <x v="2"/>
    <n v="40115.25"/>
    <x v="702"/>
    <x v="1"/>
    <x v="702"/>
  </r>
  <r>
    <n v="1076"/>
    <d v="2023-09-21T00:00:00"/>
    <x v="8"/>
    <s v="Bob"/>
    <x v="0"/>
    <n v="611.52"/>
    <n v="26"/>
    <x v="2"/>
    <n v="1762"/>
    <n v="2002.95"/>
    <s v="Returning"/>
    <x v="14"/>
    <s v="Credit Card"/>
    <x v="1"/>
    <x v="10"/>
    <n v="36974.456999999995"/>
    <x v="703"/>
    <x v="1"/>
    <x v="703"/>
  </r>
  <r>
    <n v="1062"/>
    <d v="2023-09-21T00:00:00"/>
    <x v="8"/>
    <s v="David"/>
    <x v="0"/>
    <n v="2994.59"/>
    <n v="37"/>
    <x v="2"/>
    <n v="4658.4399999999996"/>
    <n v="4823.5"/>
    <s v="Returning"/>
    <x v="1"/>
    <s v="Credit Card"/>
    <x v="0"/>
    <x v="19"/>
    <n v="153483.76999999999"/>
    <x v="704"/>
    <x v="1"/>
    <x v="704"/>
  </r>
  <r>
    <n v="1061"/>
    <d v="2023-09-21T00:00:00"/>
    <x v="8"/>
    <s v="Charlie"/>
    <x v="1"/>
    <n v="9895.57"/>
    <n v="25"/>
    <x v="3"/>
    <n v="2747.66"/>
    <n v="3027.0099999999902"/>
    <s v="New"/>
    <x v="24"/>
    <s v="Cash"/>
    <x v="0"/>
    <x v="17"/>
    <n v="58269.942499999808"/>
    <x v="705"/>
    <x v="1"/>
    <x v="705"/>
  </r>
  <r>
    <n v="1015"/>
    <d v="2023-09-22T00:00:00"/>
    <x v="8"/>
    <s v="David"/>
    <x v="1"/>
    <n v="9914.15"/>
    <n v="22"/>
    <x v="2"/>
    <n v="4275.59"/>
    <n v="4576.72"/>
    <s v="Returning"/>
    <x v="21"/>
    <s v="Cash"/>
    <x v="1"/>
    <x v="3"/>
    <n v="98674.083199999994"/>
    <x v="706"/>
    <x v="0"/>
    <x v="706"/>
  </r>
  <r>
    <n v="1093"/>
    <d v="2023-09-23T00:00:00"/>
    <x v="8"/>
    <s v="Charlie"/>
    <x v="0"/>
    <n v="9787.4"/>
    <n v="40"/>
    <x v="1"/>
    <n v="1047.25"/>
    <n v="1075.8900000000001"/>
    <s v="New"/>
    <x v="27"/>
    <s v="Credit Card"/>
    <x v="1"/>
    <x v="1"/>
    <n v="30985.632000000001"/>
    <x v="707"/>
    <x v="1"/>
    <x v="707"/>
  </r>
  <r>
    <n v="1100"/>
    <d v="2023-09-23T00:00:00"/>
    <x v="8"/>
    <s v="Charlie"/>
    <x v="0"/>
    <n v="797.87"/>
    <n v="19"/>
    <x v="2"/>
    <n v="1820.89"/>
    <n v="2257.92"/>
    <s v="New"/>
    <x v="7"/>
    <s v="Cash"/>
    <x v="1"/>
    <x v="1"/>
    <n v="37752.422400000003"/>
    <x v="708"/>
    <x v="0"/>
    <x v="708"/>
  </r>
  <r>
    <n v="1036"/>
    <d v="2023-09-23T00:00:00"/>
    <x v="8"/>
    <s v="Bob"/>
    <x v="0"/>
    <n v="3971.23"/>
    <n v="42"/>
    <x v="1"/>
    <n v="3549.43"/>
    <n v="3967.6899999999901"/>
    <s v="New"/>
    <x v="1"/>
    <s v="Bank Transfer"/>
    <x v="0"/>
    <x v="10"/>
    <n v="143312.96279999963"/>
    <x v="709"/>
    <x v="1"/>
    <x v="709"/>
  </r>
  <r>
    <n v="1089"/>
    <d v="2023-09-24T00:00:00"/>
    <x v="8"/>
    <s v="Bob"/>
    <x v="1"/>
    <n v="2975.99"/>
    <n v="48"/>
    <x v="3"/>
    <n v="2246.67"/>
    <n v="2486.14"/>
    <s v="New"/>
    <x v="11"/>
    <s v="Cash"/>
    <x v="1"/>
    <x v="8"/>
    <n v="115754.67839999998"/>
    <x v="710"/>
    <x v="0"/>
    <x v="710"/>
  </r>
  <r>
    <n v="1097"/>
    <d v="2023-09-24T00:00:00"/>
    <x v="8"/>
    <s v="Alice"/>
    <x v="3"/>
    <n v="5025.6400000000003"/>
    <n v="9"/>
    <x v="3"/>
    <n v="4067.28"/>
    <n v="4548.09"/>
    <s v="Returning"/>
    <x v="7"/>
    <s v="Credit Card"/>
    <x v="1"/>
    <x v="9"/>
    <n v="36020.872800000005"/>
    <x v="711"/>
    <x v="1"/>
    <x v="711"/>
  </r>
  <r>
    <n v="1015"/>
    <d v="2023-09-24T00:00:00"/>
    <x v="8"/>
    <s v="Bob"/>
    <x v="3"/>
    <n v="182.37"/>
    <n v="35"/>
    <x v="0"/>
    <n v="3461.15"/>
    <n v="3631.75"/>
    <s v="Returning"/>
    <x v="10"/>
    <s v="Credit Card"/>
    <x v="0"/>
    <x v="5"/>
    <n v="92791.212499999994"/>
    <x v="712"/>
    <x v="1"/>
    <x v="712"/>
  </r>
  <r>
    <n v="1046"/>
    <d v="2023-09-24T00:00:00"/>
    <x v="8"/>
    <s v="Charlie"/>
    <x v="2"/>
    <n v="4695.96"/>
    <n v="41"/>
    <x v="0"/>
    <n v="1825.37"/>
    <n v="2073.88"/>
    <s v="Returning"/>
    <x v="10"/>
    <s v="Cash"/>
    <x v="1"/>
    <x v="14"/>
    <n v="62071.228400000007"/>
    <x v="713"/>
    <x v="1"/>
    <x v="713"/>
  </r>
  <r>
    <n v="1005"/>
    <d v="2023-09-24T00:00:00"/>
    <x v="8"/>
    <s v="Eve"/>
    <x v="1"/>
    <n v="4453.43"/>
    <n v="6"/>
    <x v="3"/>
    <n v="122.5"/>
    <n v="385.83"/>
    <s v="Returning"/>
    <x v="8"/>
    <s v="Cash"/>
    <x v="1"/>
    <x v="2"/>
    <n v="2083.482"/>
    <x v="714"/>
    <x v="0"/>
    <x v="714"/>
  </r>
  <r>
    <n v="1066"/>
    <d v="2023-09-25T00:00:00"/>
    <x v="8"/>
    <s v="Eve"/>
    <x v="3"/>
    <n v="7391.7"/>
    <n v="47"/>
    <x v="3"/>
    <n v="1319.24"/>
    <n v="1805.56"/>
    <s v="New"/>
    <x v="12"/>
    <s v="Credit Card"/>
    <x v="1"/>
    <x v="7"/>
    <n v="62797.376799999998"/>
    <x v="715"/>
    <x v="0"/>
    <x v="715"/>
  </r>
  <r>
    <n v="1039"/>
    <d v="2023-09-25T00:00:00"/>
    <x v="8"/>
    <s v="Eve"/>
    <x v="2"/>
    <n v="1143.3900000000001"/>
    <n v="37"/>
    <x v="2"/>
    <n v="4127.05"/>
    <n v="4313.45"/>
    <s v="New"/>
    <x v="25"/>
    <s v="Cash"/>
    <x v="0"/>
    <x v="11"/>
    <n v="134062.02599999998"/>
    <x v="716"/>
    <x v="1"/>
    <x v="716"/>
  </r>
  <r>
    <n v="1090"/>
    <d v="2023-09-26T00:00:00"/>
    <x v="8"/>
    <s v="Eve"/>
    <x v="0"/>
    <n v="7350.77"/>
    <n v="11"/>
    <x v="2"/>
    <n v="210.33"/>
    <n v="552.29"/>
    <s v="Returning"/>
    <x v="30"/>
    <s v="Cash"/>
    <x v="1"/>
    <x v="0"/>
    <n v="4981.6557999999995"/>
    <x v="717"/>
    <x v="0"/>
    <x v="717"/>
  </r>
  <r>
    <n v="1018"/>
    <d v="2023-09-26T00:00:00"/>
    <x v="8"/>
    <s v="David"/>
    <x v="3"/>
    <n v="5634.69"/>
    <n v="25"/>
    <x v="1"/>
    <n v="739.63"/>
    <n v="1103.03"/>
    <s v="New"/>
    <x v="12"/>
    <s v="Bank Transfer"/>
    <x v="1"/>
    <x v="12"/>
    <n v="20406.055"/>
    <x v="718"/>
    <x v="0"/>
    <x v="718"/>
  </r>
  <r>
    <n v="1006"/>
    <d v="2023-09-26T00:00:00"/>
    <x v="8"/>
    <s v="Bob"/>
    <x v="3"/>
    <n v="6954.35"/>
    <n v="14"/>
    <x v="3"/>
    <n v="4503.7299999999996"/>
    <n v="4879.8799999999901"/>
    <s v="New"/>
    <x v="6"/>
    <s v="Bank Transfer"/>
    <x v="1"/>
    <x v="5"/>
    <n v="51921.923199999896"/>
    <x v="719"/>
    <x v="1"/>
    <x v="719"/>
  </r>
  <r>
    <n v="1088"/>
    <d v="2023-09-27T00:00:00"/>
    <x v="8"/>
    <s v="Eve"/>
    <x v="0"/>
    <n v="7106.44"/>
    <n v="12"/>
    <x v="0"/>
    <n v="4389.24"/>
    <n v="4856.2199999999903"/>
    <s v="Returning"/>
    <x v="20"/>
    <s v="Cash"/>
    <x v="1"/>
    <x v="0"/>
    <n v="49533.443999999894"/>
    <x v="720"/>
    <x v="1"/>
    <x v="720"/>
  </r>
  <r>
    <n v="1058"/>
    <d v="2023-09-27T00:00:00"/>
    <x v="8"/>
    <s v="Eve"/>
    <x v="2"/>
    <n v="1193.28"/>
    <n v="29"/>
    <x v="2"/>
    <n v="3578.77"/>
    <n v="3635.02"/>
    <s v="New"/>
    <x v="3"/>
    <s v="Bank Transfer"/>
    <x v="1"/>
    <x v="11"/>
    <n v="84332.464000000007"/>
    <x v="721"/>
    <x v="1"/>
    <x v="721"/>
  </r>
  <r>
    <n v="1047"/>
    <d v="2023-09-27T00:00:00"/>
    <x v="8"/>
    <s v="Eve"/>
    <x v="0"/>
    <n v="8657.89"/>
    <n v="32"/>
    <x v="2"/>
    <n v="367.98"/>
    <n v="806.14"/>
    <s v="Returning"/>
    <x v="23"/>
    <s v="Credit Card"/>
    <x v="1"/>
    <x v="0"/>
    <n v="20121.254400000002"/>
    <x v="722"/>
    <x v="0"/>
    <x v="722"/>
  </r>
  <r>
    <n v="1049"/>
    <d v="2023-09-28T00:00:00"/>
    <x v="8"/>
    <s v="Alice"/>
    <x v="2"/>
    <n v="5972.27"/>
    <n v="44"/>
    <x v="1"/>
    <n v="3351.33"/>
    <n v="3465.35"/>
    <s v="Returning"/>
    <x v="7"/>
    <s v="Bank Transfer"/>
    <x v="0"/>
    <x v="16"/>
    <n v="134178.35199999998"/>
    <x v="723"/>
    <x v="1"/>
    <x v="723"/>
  </r>
  <r>
    <n v="1004"/>
    <d v="2023-09-28T00:00:00"/>
    <x v="8"/>
    <s v="Eve"/>
    <x v="1"/>
    <n v="4936.1099999999997"/>
    <n v="27"/>
    <x v="0"/>
    <n v="4354.6000000000004"/>
    <n v="4820.2"/>
    <s v="New"/>
    <x v="1"/>
    <s v="Credit Card"/>
    <x v="1"/>
    <x v="2"/>
    <n v="111925.04399999998"/>
    <x v="724"/>
    <x v="1"/>
    <x v="724"/>
  </r>
  <r>
    <n v="1036"/>
    <d v="2023-09-29T00:00:00"/>
    <x v="8"/>
    <s v="Bob"/>
    <x v="0"/>
    <n v="6116.75"/>
    <n v="7"/>
    <x v="0"/>
    <n v="2588.67"/>
    <n v="2847.76"/>
    <s v="New"/>
    <x v="23"/>
    <s v="Cash"/>
    <x v="1"/>
    <x v="10"/>
    <n v="15548.769600000001"/>
    <x v="725"/>
    <x v="1"/>
    <x v="725"/>
  </r>
  <r>
    <n v="1048"/>
    <d v="2023-09-30T00:00:00"/>
    <x v="8"/>
    <s v="Charlie"/>
    <x v="0"/>
    <n v="7873.38"/>
    <n v="4"/>
    <x v="1"/>
    <n v="2900.14"/>
    <n v="2910.5099999999902"/>
    <s v="New"/>
    <x v="23"/>
    <s v="Credit Card"/>
    <x v="1"/>
    <x v="1"/>
    <n v="9080.7911999999706"/>
    <x v="726"/>
    <x v="1"/>
    <x v="726"/>
  </r>
  <r>
    <n v="1084"/>
    <d v="2023-09-30T00:00:00"/>
    <x v="8"/>
    <s v="Alice"/>
    <x v="3"/>
    <n v="9532.8700000000008"/>
    <n v="30"/>
    <x v="3"/>
    <n v="169"/>
    <n v="381.91999999999899"/>
    <s v="Returning"/>
    <x v="12"/>
    <s v="Cash"/>
    <x v="1"/>
    <x v="9"/>
    <n v="8478.623999999978"/>
    <x v="727"/>
    <x v="0"/>
    <x v="727"/>
  </r>
  <r>
    <n v="1023"/>
    <d v="2023-09-30T00:00:00"/>
    <x v="8"/>
    <s v="Charlie"/>
    <x v="0"/>
    <n v="8046.14"/>
    <n v="8"/>
    <x v="1"/>
    <n v="1563.78"/>
    <n v="1829.1599999999901"/>
    <s v="Returning"/>
    <x v="20"/>
    <s v="Cash"/>
    <x v="0"/>
    <x v="1"/>
    <n v="12438.287999999931"/>
    <x v="728"/>
    <x v="1"/>
    <x v="728"/>
  </r>
  <r>
    <n v="1093"/>
    <d v="2023-10-01T00:00:00"/>
    <x v="9"/>
    <s v="Eve"/>
    <x v="3"/>
    <n v="1697.49"/>
    <n v="22"/>
    <x v="2"/>
    <n v="2593.64"/>
    <n v="2955.5099999999902"/>
    <s v="Returning"/>
    <x v="4"/>
    <s v="Bank Transfer"/>
    <x v="1"/>
    <x v="7"/>
    <n v="65021.219999999783"/>
    <x v="729"/>
    <x v="0"/>
    <x v="729"/>
  </r>
  <r>
    <n v="1077"/>
    <d v="2023-10-01T00:00:00"/>
    <x v="9"/>
    <s v="Alice"/>
    <x v="2"/>
    <n v="5405.76"/>
    <n v="5"/>
    <x v="2"/>
    <n v="3650.89"/>
    <n v="3930.06"/>
    <s v="New"/>
    <x v="15"/>
    <s v="Bank Transfer"/>
    <x v="0"/>
    <x v="16"/>
    <n v="16309.749"/>
    <x v="730"/>
    <x v="1"/>
    <x v="730"/>
  </r>
  <r>
    <n v="1091"/>
    <d v="2023-10-01T00:00:00"/>
    <x v="9"/>
    <s v="Eve"/>
    <x v="3"/>
    <n v="3917.42"/>
    <n v="15"/>
    <x v="2"/>
    <n v="1534.7"/>
    <n v="1972.62"/>
    <s v="Returning"/>
    <x v="22"/>
    <s v="Credit Card"/>
    <x v="1"/>
    <x v="7"/>
    <n v="27813.941999999995"/>
    <x v="731"/>
    <x v="0"/>
    <x v="731"/>
  </r>
  <r>
    <n v="1053"/>
    <d v="2023-10-02T00:00:00"/>
    <x v="9"/>
    <s v="David"/>
    <x v="3"/>
    <n v="7724.57"/>
    <n v="29"/>
    <x v="2"/>
    <n v="3741.3"/>
    <n v="4061.04"/>
    <s v="Returning"/>
    <x v="5"/>
    <s v="Credit Card"/>
    <x v="0"/>
    <x v="12"/>
    <n v="93038.426400000011"/>
    <x v="732"/>
    <x v="1"/>
    <x v="732"/>
  </r>
  <r>
    <n v="1093"/>
    <d v="2023-10-02T00:00:00"/>
    <x v="9"/>
    <s v="Bob"/>
    <x v="2"/>
    <n v="3747.64"/>
    <n v="43"/>
    <x v="2"/>
    <n v="1486.76"/>
    <n v="1505.44"/>
    <s v="New"/>
    <x v="19"/>
    <s v="Cash"/>
    <x v="1"/>
    <x v="18"/>
    <n v="59555.20640000001"/>
    <x v="733"/>
    <x v="1"/>
    <x v="733"/>
  </r>
  <r>
    <n v="1088"/>
    <d v="2023-10-04T00:00:00"/>
    <x v="9"/>
    <s v="Bob"/>
    <x v="3"/>
    <n v="6116.75"/>
    <n v="40"/>
    <x v="2"/>
    <n v="4904.93"/>
    <n v="5034.3500000000004"/>
    <s v="New"/>
    <x v="8"/>
    <s v="Credit Card"/>
    <x v="1"/>
    <x v="5"/>
    <n v="181236.60000000003"/>
    <x v="734"/>
    <x v="1"/>
    <x v="734"/>
  </r>
  <r>
    <n v="1079"/>
    <d v="2023-10-04T00:00:00"/>
    <x v="9"/>
    <s v="Eve"/>
    <x v="3"/>
    <n v="942.52"/>
    <n v="12"/>
    <x v="3"/>
    <n v="4754.0200000000004"/>
    <n v="5080.74"/>
    <s v="New"/>
    <x v="3"/>
    <s v="Cash"/>
    <x v="0"/>
    <x v="7"/>
    <n v="48775.103999999999"/>
    <x v="735"/>
    <x v="1"/>
    <x v="735"/>
  </r>
  <r>
    <n v="1066"/>
    <d v="2023-10-05T00:00:00"/>
    <x v="9"/>
    <s v="Alice"/>
    <x v="1"/>
    <n v="3530.59"/>
    <n v="4"/>
    <x v="1"/>
    <n v="4596.68"/>
    <n v="5044.74"/>
    <s v="New"/>
    <x v="18"/>
    <s v="Bank Transfer"/>
    <x v="0"/>
    <x v="15"/>
    <n v="19977.170399999999"/>
    <x v="736"/>
    <x v="0"/>
    <x v="736"/>
  </r>
  <r>
    <n v="1063"/>
    <d v="2023-10-05T00:00:00"/>
    <x v="9"/>
    <s v="Alice"/>
    <x v="1"/>
    <n v="7859.01"/>
    <n v="27"/>
    <x v="3"/>
    <n v="2069.08"/>
    <n v="2246.2399999999998"/>
    <s v="New"/>
    <x v="22"/>
    <s v="Bank Transfer"/>
    <x v="1"/>
    <x v="15"/>
    <n v="57009.571199999991"/>
    <x v="737"/>
    <x v="0"/>
    <x v="737"/>
  </r>
  <r>
    <n v="1060"/>
    <d v="2023-10-07T00:00:00"/>
    <x v="9"/>
    <s v="Alice"/>
    <x v="1"/>
    <n v="6453.17"/>
    <n v="23"/>
    <x v="2"/>
    <n v="647.70000000000005"/>
    <n v="902.26"/>
    <s v="New"/>
    <x v="15"/>
    <s v="Bank Transfer"/>
    <x v="0"/>
    <x v="15"/>
    <n v="17224.143399999997"/>
    <x v="738"/>
    <x v="0"/>
    <x v="738"/>
  </r>
  <r>
    <n v="1051"/>
    <d v="2023-10-07T00:00:00"/>
    <x v="9"/>
    <s v="Bob"/>
    <x v="2"/>
    <n v="8047.83"/>
    <n v="3"/>
    <x v="1"/>
    <n v="3434.75"/>
    <n v="3659.42"/>
    <s v="New"/>
    <x v="25"/>
    <s v="Cash"/>
    <x v="0"/>
    <x v="18"/>
    <n v="9221.7384000000002"/>
    <x v="739"/>
    <x v="1"/>
    <x v="739"/>
  </r>
  <r>
    <n v="1032"/>
    <d v="2023-10-08T00:00:00"/>
    <x v="9"/>
    <s v="Eve"/>
    <x v="3"/>
    <n v="4095.65"/>
    <n v="11"/>
    <x v="3"/>
    <n v="2025.67"/>
    <n v="2081.5500000000002"/>
    <s v="New"/>
    <x v="10"/>
    <s v="Bank Transfer"/>
    <x v="0"/>
    <x v="7"/>
    <n v="16714.8465"/>
    <x v="740"/>
    <x v="1"/>
    <x v="740"/>
  </r>
  <r>
    <n v="1001"/>
    <d v="2023-10-08T00:00:00"/>
    <x v="9"/>
    <s v="Bob"/>
    <x v="2"/>
    <n v="8397.73"/>
    <n v="33"/>
    <x v="1"/>
    <n v="2933.54"/>
    <n v="3307.75"/>
    <s v="Returning"/>
    <x v="18"/>
    <s v="Bank Transfer"/>
    <x v="1"/>
    <x v="18"/>
    <n v="108064.1925"/>
    <x v="741"/>
    <x v="0"/>
    <x v="741"/>
  </r>
  <r>
    <n v="1075"/>
    <d v="2023-10-09T00:00:00"/>
    <x v="9"/>
    <s v="Charlie"/>
    <x v="2"/>
    <n v="8239.58"/>
    <n v="18"/>
    <x v="0"/>
    <n v="2228.35"/>
    <n v="2682.34"/>
    <s v="New"/>
    <x v="29"/>
    <s v="Bank Transfer"/>
    <x v="0"/>
    <x v="14"/>
    <n v="42005.4444"/>
    <x v="742"/>
    <x v="0"/>
    <x v="742"/>
  </r>
  <r>
    <n v="1062"/>
    <d v="2023-10-09T00:00:00"/>
    <x v="9"/>
    <s v="Bob"/>
    <x v="3"/>
    <n v="544.62"/>
    <n v="4"/>
    <x v="2"/>
    <n v="1581.59"/>
    <n v="2034.1499999999901"/>
    <s v="Returning"/>
    <x v="5"/>
    <s v="Cash"/>
    <x v="0"/>
    <x v="5"/>
    <n v="6427.9139999999688"/>
    <x v="743"/>
    <x v="0"/>
    <x v="743"/>
  </r>
  <r>
    <n v="1052"/>
    <d v="2023-10-09T00:00:00"/>
    <x v="9"/>
    <s v="David"/>
    <x v="2"/>
    <n v="6757.36"/>
    <n v="41"/>
    <x v="2"/>
    <n v="1509.98"/>
    <n v="1792.83"/>
    <s v="New"/>
    <x v="17"/>
    <s v="Cash"/>
    <x v="1"/>
    <x v="4"/>
    <n v="70565.788799999995"/>
    <x v="744"/>
    <x v="0"/>
    <x v="744"/>
  </r>
  <r>
    <n v="1095"/>
    <d v="2023-10-09T00:00:00"/>
    <x v="9"/>
    <s v="David"/>
    <x v="0"/>
    <n v="8828.74"/>
    <n v="21"/>
    <x v="0"/>
    <n v="621.04999999999995"/>
    <n v="820.36999999999898"/>
    <s v="Returning"/>
    <x v="6"/>
    <s v="Bank Transfer"/>
    <x v="0"/>
    <x v="19"/>
    <n v="13093.105199999984"/>
    <x v="745"/>
    <x v="0"/>
    <x v="745"/>
  </r>
  <r>
    <n v="1001"/>
    <d v="2023-10-10T00:00:00"/>
    <x v="9"/>
    <s v="David"/>
    <x v="2"/>
    <n v="3780.07"/>
    <n v="18"/>
    <x v="1"/>
    <n v="2602.6"/>
    <n v="3013.49"/>
    <s v="Returning"/>
    <x v="19"/>
    <s v="Bank Transfer"/>
    <x v="0"/>
    <x v="4"/>
    <n v="49903.394400000005"/>
    <x v="746"/>
    <x v="0"/>
    <x v="746"/>
  </r>
  <r>
    <n v="1019"/>
    <d v="2023-10-11T00:00:00"/>
    <x v="9"/>
    <s v="Eve"/>
    <x v="1"/>
    <n v="2030.25"/>
    <n v="32"/>
    <x v="2"/>
    <n v="2866.47"/>
    <n v="3286.47"/>
    <s v="New"/>
    <x v="26"/>
    <s v="Credit Card"/>
    <x v="0"/>
    <x v="2"/>
    <n v="95702.006399999998"/>
    <x v="747"/>
    <x v="0"/>
    <x v="747"/>
  </r>
  <r>
    <n v="1052"/>
    <d v="2023-10-12T00:00:00"/>
    <x v="9"/>
    <s v="David"/>
    <x v="0"/>
    <n v="7444.77"/>
    <n v="46"/>
    <x v="2"/>
    <n v="3136.42"/>
    <n v="3198.49"/>
    <s v="Returning"/>
    <x v="14"/>
    <s v="Cash"/>
    <x v="1"/>
    <x v="19"/>
    <n v="104462.68339999998"/>
    <x v="748"/>
    <x v="1"/>
    <x v="748"/>
  </r>
  <r>
    <n v="1032"/>
    <d v="2023-10-12T00:00:00"/>
    <x v="9"/>
    <s v="Alice"/>
    <x v="0"/>
    <n v="3035.94"/>
    <n v="17"/>
    <x v="0"/>
    <n v="1291.9100000000001"/>
    <n v="1528.59"/>
    <s v="Returning"/>
    <x v="16"/>
    <s v="Credit Card"/>
    <x v="1"/>
    <x v="13"/>
    <n v="23127.566699999999"/>
    <x v="749"/>
    <x v="0"/>
    <x v="749"/>
  </r>
  <r>
    <n v="1019"/>
    <d v="2023-10-12T00:00:00"/>
    <x v="9"/>
    <s v="Charlie"/>
    <x v="2"/>
    <n v="220.35"/>
    <n v="16"/>
    <x v="0"/>
    <n v="4977.78"/>
    <n v="4995.55"/>
    <s v="New"/>
    <x v="2"/>
    <s v="Credit Card"/>
    <x v="0"/>
    <x v="14"/>
    <n v="59946.600000000006"/>
    <x v="750"/>
    <x v="1"/>
    <x v="750"/>
  </r>
  <r>
    <n v="1010"/>
    <d v="2023-10-12T00:00:00"/>
    <x v="9"/>
    <s v="Charlie"/>
    <x v="0"/>
    <n v="9907.7199999999993"/>
    <n v="20"/>
    <x v="1"/>
    <n v="4298.74"/>
    <n v="4475.1899999999996"/>
    <s v="Returning"/>
    <x v="25"/>
    <s v="Cash"/>
    <x v="0"/>
    <x v="1"/>
    <n v="75183.191999999995"/>
    <x v="751"/>
    <x v="1"/>
    <x v="751"/>
  </r>
  <r>
    <n v="1089"/>
    <d v="2023-10-12T00:00:00"/>
    <x v="9"/>
    <s v="David"/>
    <x v="1"/>
    <n v="9813.07"/>
    <n v="25"/>
    <x v="1"/>
    <n v="3512.69"/>
    <n v="3964.63"/>
    <s v="Returning"/>
    <x v="11"/>
    <s v="Credit Card"/>
    <x v="1"/>
    <x v="3"/>
    <n v="96142.277499999997"/>
    <x v="752"/>
    <x v="0"/>
    <x v="752"/>
  </r>
  <r>
    <n v="1077"/>
    <d v="2023-10-12T00:00:00"/>
    <x v="9"/>
    <s v="David"/>
    <x v="1"/>
    <n v="628.15"/>
    <n v="23"/>
    <x v="2"/>
    <n v="557.52"/>
    <n v="822.39"/>
    <s v="Returning"/>
    <x v="14"/>
    <s v="Credit Card"/>
    <x v="0"/>
    <x v="3"/>
    <n v="13429.628699999999"/>
    <x v="753"/>
    <x v="0"/>
    <x v="753"/>
  </r>
  <r>
    <n v="1008"/>
    <d v="2023-10-13T00:00:00"/>
    <x v="9"/>
    <s v="Eve"/>
    <x v="2"/>
    <n v="1558.3"/>
    <n v="24"/>
    <x v="2"/>
    <n v="1542.24"/>
    <n v="1739.45"/>
    <s v="Returning"/>
    <x v="5"/>
    <s v="Bank Transfer"/>
    <x v="1"/>
    <x v="11"/>
    <n v="32979.972000000002"/>
    <x v="754"/>
    <x v="1"/>
    <x v="754"/>
  </r>
  <r>
    <n v="1099"/>
    <d v="2023-10-13T00:00:00"/>
    <x v="9"/>
    <s v="Charlie"/>
    <x v="0"/>
    <n v="7614.15"/>
    <n v="14"/>
    <x v="3"/>
    <n v="1996.64"/>
    <n v="2341.4699999999998"/>
    <s v="Returning"/>
    <x v="23"/>
    <s v="Credit Card"/>
    <x v="0"/>
    <x v="1"/>
    <n v="25568.852399999996"/>
    <x v="755"/>
    <x v="1"/>
    <x v="755"/>
  </r>
  <r>
    <n v="1002"/>
    <d v="2023-10-14T00:00:00"/>
    <x v="9"/>
    <s v="David"/>
    <x v="1"/>
    <n v="8951.5300000000007"/>
    <n v="39"/>
    <x v="0"/>
    <n v="1004.71"/>
    <n v="1389.35"/>
    <s v="New"/>
    <x v="6"/>
    <s v="Bank Transfer"/>
    <x v="0"/>
    <x v="3"/>
    <n v="41180.333999999995"/>
    <x v="756"/>
    <x v="0"/>
    <x v="756"/>
  </r>
  <r>
    <n v="1076"/>
    <d v="2023-10-14T00:00:00"/>
    <x v="9"/>
    <s v="Charlie"/>
    <x v="1"/>
    <n v="8674.35"/>
    <n v="23"/>
    <x v="3"/>
    <n v="1727.78"/>
    <n v="1984.34"/>
    <s v="Returning"/>
    <x v="6"/>
    <s v="Bank Transfer"/>
    <x v="0"/>
    <x v="17"/>
    <n v="34686.263199999994"/>
    <x v="757"/>
    <x v="1"/>
    <x v="757"/>
  </r>
  <r>
    <n v="1048"/>
    <d v="2023-10-15T00:00:00"/>
    <x v="9"/>
    <s v="Charlie"/>
    <x v="0"/>
    <n v="4510.8599999999997"/>
    <n v="42"/>
    <x v="2"/>
    <n v="3139.99"/>
    <n v="3349.37"/>
    <s v="Returning"/>
    <x v="29"/>
    <s v="Credit Card"/>
    <x v="1"/>
    <x v="1"/>
    <n v="122385.9798"/>
    <x v="758"/>
    <x v="1"/>
    <x v="758"/>
  </r>
  <r>
    <n v="1025"/>
    <d v="2023-10-15T00:00:00"/>
    <x v="9"/>
    <s v="David"/>
    <x v="0"/>
    <n v="3422.54"/>
    <n v="44"/>
    <x v="3"/>
    <n v="1485.72"/>
    <n v="1717.97"/>
    <s v="New"/>
    <x v="21"/>
    <s v="Credit Card"/>
    <x v="1"/>
    <x v="19"/>
    <n v="74078.866399999999"/>
    <x v="759"/>
    <x v="0"/>
    <x v="759"/>
  </r>
  <r>
    <n v="1035"/>
    <d v="2023-10-15T00:00:00"/>
    <x v="9"/>
    <s v="David"/>
    <x v="0"/>
    <n v="9476.2000000000007"/>
    <n v="1"/>
    <x v="1"/>
    <n v="610.83000000000004"/>
    <n v="808.69"/>
    <s v="New"/>
    <x v="23"/>
    <s v="Credit Card"/>
    <x v="0"/>
    <x v="19"/>
    <n v="630.77820000000008"/>
    <x v="760"/>
    <x v="0"/>
    <x v="760"/>
  </r>
  <r>
    <n v="1038"/>
    <d v="2023-10-15T00:00:00"/>
    <x v="9"/>
    <s v="David"/>
    <x v="2"/>
    <n v="8020.03"/>
    <n v="31"/>
    <x v="0"/>
    <n v="2709.84"/>
    <n v="2766.51"/>
    <s v="New"/>
    <x v="28"/>
    <s v="Cash"/>
    <x v="1"/>
    <x v="4"/>
    <n v="69467.066100000011"/>
    <x v="761"/>
    <x v="1"/>
    <x v="761"/>
  </r>
  <r>
    <n v="1069"/>
    <d v="2023-10-15T00:00:00"/>
    <x v="9"/>
    <s v="Bob"/>
    <x v="2"/>
    <n v="1688.58"/>
    <n v="46"/>
    <x v="3"/>
    <n v="3663.51"/>
    <n v="4007.98"/>
    <s v="New"/>
    <x v="29"/>
    <s v="Cash"/>
    <x v="0"/>
    <x v="18"/>
    <n v="160399.3596"/>
    <x v="762"/>
    <x v="1"/>
    <x v="762"/>
  </r>
  <r>
    <n v="1099"/>
    <d v="2023-10-15T00:00:00"/>
    <x v="9"/>
    <s v="David"/>
    <x v="3"/>
    <n v="6807.56"/>
    <n v="39"/>
    <x v="2"/>
    <n v="3592.89"/>
    <n v="4004"/>
    <s v="New"/>
    <x v="29"/>
    <s v="Cash"/>
    <x v="0"/>
    <x v="12"/>
    <n v="135855.72"/>
    <x v="763"/>
    <x v="1"/>
    <x v="763"/>
  </r>
  <r>
    <n v="1090"/>
    <d v="2023-10-15T00:00:00"/>
    <x v="9"/>
    <s v="Charlie"/>
    <x v="1"/>
    <n v="9702.27"/>
    <n v="48"/>
    <x v="2"/>
    <n v="4766.53"/>
    <n v="5253.07"/>
    <s v="Returning"/>
    <x v="18"/>
    <s v="Bank Transfer"/>
    <x v="0"/>
    <x v="17"/>
    <n v="249625.88639999996"/>
    <x v="764"/>
    <x v="0"/>
    <x v="764"/>
  </r>
  <r>
    <n v="1053"/>
    <d v="2023-10-16T00:00:00"/>
    <x v="9"/>
    <s v="Bob"/>
    <x v="0"/>
    <n v="2235.83"/>
    <n v="48"/>
    <x v="1"/>
    <n v="121.19"/>
    <n v="487.65"/>
    <s v="New"/>
    <x v="30"/>
    <s v="Cash"/>
    <x v="1"/>
    <x v="10"/>
    <n v="19193.903999999999"/>
    <x v="765"/>
    <x v="0"/>
    <x v="765"/>
  </r>
  <r>
    <n v="1015"/>
    <d v="2023-10-16T00:00:00"/>
    <x v="9"/>
    <s v="Charlie"/>
    <x v="0"/>
    <n v="7946.69"/>
    <n v="23"/>
    <x v="3"/>
    <n v="2937.94"/>
    <n v="3007.53"/>
    <s v="Returning"/>
    <x v="11"/>
    <s v="Cash"/>
    <x v="1"/>
    <x v="1"/>
    <n v="67097.994300000006"/>
    <x v="766"/>
    <x v="1"/>
    <x v="766"/>
  </r>
  <r>
    <n v="1063"/>
    <d v="2023-10-16T00:00:00"/>
    <x v="9"/>
    <s v="Charlie"/>
    <x v="0"/>
    <n v="9775.35"/>
    <n v="4"/>
    <x v="0"/>
    <n v="1134.67"/>
    <n v="1201.3900000000001"/>
    <s v="New"/>
    <x v="13"/>
    <s v="Bank Transfer"/>
    <x v="1"/>
    <x v="1"/>
    <n v="3363.8920000000003"/>
    <x v="767"/>
    <x v="1"/>
    <x v="767"/>
  </r>
  <r>
    <n v="1016"/>
    <d v="2023-10-16T00:00:00"/>
    <x v="9"/>
    <s v="Eve"/>
    <x v="2"/>
    <n v="8786.9500000000007"/>
    <n v="11"/>
    <x v="2"/>
    <n v="3094.57"/>
    <n v="3565.6"/>
    <s v="Returning"/>
    <x v="8"/>
    <s v="Credit Card"/>
    <x v="1"/>
    <x v="11"/>
    <n v="35299.440000000002"/>
    <x v="768"/>
    <x v="0"/>
    <x v="768"/>
  </r>
  <r>
    <n v="1061"/>
    <d v="2023-10-16T00:00:00"/>
    <x v="9"/>
    <s v="Eve"/>
    <x v="3"/>
    <n v="2227.64"/>
    <n v="37"/>
    <x v="1"/>
    <n v="4651.7700000000004"/>
    <n v="4984.3900000000003"/>
    <s v="Returning"/>
    <x v="7"/>
    <s v="Cash"/>
    <x v="1"/>
    <x v="7"/>
    <n v="162291.7384"/>
    <x v="769"/>
    <x v="1"/>
    <x v="769"/>
  </r>
  <r>
    <n v="1051"/>
    <d v="2023-10-16T00:00:00"/>
    <x v="9"/>
    <s v="Alice"/>
    <x v="2"/>
    <n v="7617"/>
    <n v="43"/>
    <x v="0"/>
    <n v="287.99"/>
    <n v="666.64"/>
    <s v="Returning"/>
    <x v="4"/>
    <s v="Bank Transfer"/>
    <x v="0"/>
    <x v="16"/>
    <n v="28665.52"/>
    <x v="770"/>
    <x v="0"/>
    <x v="770"/>
  </r>
  <r>
    <n v="1055"/>
    <d v="2023-10-16T00:00:00"/>
    <x v="9"/>
    <s v="David"/>
    <x v="3"/>
    <n v="3093.95"/>
    <n v="46"/>
    <x v="0"/>
    <n v="4173.5200000000004"/>
    <n v="4294.8500000000004"/>
    <s v="Returning"/>
    <x v="11"/>
    <s v="Bank Transfer"/>
    <x v="1"/>
    <x v="12"/>
    <n v="191636.20699999999"/>
    <x v="771"/>
    <x v="1"/>
    <x v="771"/>
  </r>
  <r>
    <n v="1088"/>
    <d v="2023-10-18T00:00:00"/>
    <x v="9"/>
    <s v="Eve"/>
    <x v="2"/>
    <n v="177.63"/>
    <n v="16"/>
    <x v="1"/>
    <n v="3016.9"/>
    <n v="3040.73"/>
    <s v="New"/>
    <x v="12"/>
    <s v="Bank Transfer"/>
    <x v="1"/>
    <x v="11"/>
    <n v="36002.243199999997"/>
    <x v="772"/>
    <x v="1"/>
    <x v="772"/>
  </r>
  <r>
    <n v="1098"/>
    <d v="2023-10-18T00:00:00"/>
    <x v="9"/>
    <s v="Eve"/>
    <x v="2"/>
    <n v="1600.79"/>
    <n v="21"/>
    <x v="1"/>
    <n v="725.03"/>
    <n v="828.94999999999902"/>
    <s v="New"/>
    <x v="30"/>
    <s v="Bank Transfer"/>
    <x v="0"/>
    <x v="11"/>
    <n v="14274.518999999984"/>
    <x v="773"/>
    <x v="1"/>
    <x v="773"/>
  </r>
  <r>
    <n v="1059"/>
    <d v="2023-10-18T00:00:00"/>
    <x v="9"/>
    <s v="Alice"/>
    <x v="0"/>
    <n v="5097.4799999999996"/>
    <n v="28"/>
    <x v="2"/>
    <n v="224.32"/>
    <n v="715.06"/>
    <s v="Returning"/>
    <x v="18"/>
    <s v="Credit Card"/>
    <x v="0"/>
    <x v="13"/>
    <n v="19821.463199999998"/>
    <x v="774"/>
    <x v="0"/>
    <x v="774"/>
  </r>
  <r>
    <n v="1089"/>
    <d v="2023-10-18T00:00:00"/>
    <x v="9"/>
    <s v="David"/>
    <x v="0"/>
    <n v="7405.38"/>
    <n v="15"/>
    <x v="3"/>
    <n v="3841.05"/>
    <n v="4323.62"/>
    <s v="Returning"/>
    <x v="14"/>
    <s v="Credit Card"/>
    <x v="1"/>
    <x v="19"/>
    <n v="46046.553"/>
    <x v="775"/>
    <x v="1"/>
    <x v="775"/>
  </r>
  <r>
    <n v="1089"/>
    <d v="2023-10-19T00:00:00"/>
    <x v="9"/>
    <s v="Eve"/>
    <x v="2"/>
    <n v="9933.2199999999993"/>
    <n v="23"/>
    <x v="3"/>
    <n v="2120.54"/>
    <n v="2597.67"/>
    <s v="Returning"/>
    <x v="12"/>
    <s v="Credit Card"/>
    <x v="1"/>
    <x v="11"/>
    <n v="44212.343400000005"/>
    <x v="776"/>
    <x v="1"/>
    <x v="776"/>
  </r>
  <r>
    <n v="1049"/>
    <d v="2023-10-19T00:00:00"/>
    <x v="9"/>
    <s v="Eve"/>
    <x v="1"/>
    <n v="1966.55"/>
    <n v="30"/>
    <x v="0"/>
    <n v="4697.4399999999996"/>
    <n v="4752.24"/>
    <s v="New"/>
    <x v="27"/>
    <s v="Credit Card"/>
    <x v="0"/>
    <x v="2"/>
    <n v="102648.38399999999"/>
    <x v="777"/>
    <x v="1"/>
    <x v="777"/>
  </r>
  <r>
    <n v="1036"/>
    <d v="2023-10-20T00:00:00"/>
    <x v="9"/>
    <s v="David"/>
    <x v="0"/>
    <n v="6499.94"/>
    <n v="49"/>
    <x v="0"/>
    <n v="1247.0999999999999"/>
    <n v="1429.4399999999901"/>
    <s v="New"/>
    <x v="25"/>
    <s v="Cash"/>
    <x v="0"/>
    <x v="19"/>
    <n v="58835.750399999597"/>
    <x v="778"/>
    <x v="1"/>
    <x v="778"/>
  </r>
  <r>
    <n v="1002"/>
    <d v="2023-10-20T00:00:00"/>
    <x v="9"/>
    <s v="David"/>
    <x v="0"/>
    <n v="5842.88"/>
    <n v="30"/>
    <x v="0"/>
    <n v="4646.55"/>
    <n v="4784.28"/>
    <s v="Returning"/>
    <x v="8"/>
    <s v="Credit Card"/>
    <x v="1"/>
    <x v="19"/>
    <n v="129175.56"/>
    <x v="779"/>
    <x v="1"/>
    <x v="779"/>
  </r>
  <r>
    <n v="1099"/>
    <d v="2023-10-20T00:00:00"/>
    <x v="9"/>
    <s v="David"/>
    <x v="1"/>
    <n v="7859.22"/>
    <n v="23"/>
    <x v="0"/>
    <n v="93.45"/>
    <n v="181.62"/>
    <s v="Returning"/>
    <x v="13"/>
    <s v="Bank Transfer"/>
    <x v="1"/>
    <x v="3"/>
    <n v="2924.0819999999999"/>
    <x v="780"/>
    <x v="0"/>
    <x v="780"/>
  </r>
  <r>
    <n v="1048"/>
    <d v="2023-10-20T00:00:00"/>
    <x v="9"/>
    <s v="Alice"/>
    <x v="1"/>
    <n v="9688.52"/>
    <n v="6"/>
    <x v="2"/>
    <n v="3717.3"/>
    <n v="4061.37"/>
    <s v="New"/>
    <x v="11"/>
    <s v="Bank Transfer"/>
    <x v="1"/>
    <x v="15"/>
    <n v="23637.1734"/>
    <x v="781"/>
    <x v="0"/>
    <x v="781"/>
  </r>
  <r>
    <n v="1043"/>
    <d v="2023-10-20T00:00:00"/>
    <x v="9"/>
    <s v="Charlie"/>
    <x v="1"/>
    <n v="5081.01"/>
    <n v="22"/>
    <x v="3"/>
    <n v="530.04"/>
    <n v="759.31999999999903"/>
    <s v="Returning"/>
    <x v="15"/>
    <s v="Bank Transfer"/>
    <x v="1"/>
    <x v="17"/>
    <n v="13865.183199999981"/>
    <x v="782"/>
    <x v="0"/>
    <x v="782"/>
  </r>
  <r>
    <n v="1096"/>
    <d v="2023-10-20T00:00:00"/>
    <x v="9"/>
    <s v="David"/>
    <x v="1"/>
    <n v="7051.25"/>
    <n v="10"/>
    <x v="0"/>
    <n v="2927.02"/>
    <n v="3387.21"/>
    <s v="Returning"/>
    <x v="7"/>
    <s v="Cash"/>
    <x v="1"/>
    <x v="3"/>
    <n v="29807.448"/>
    <x v="783"/>
    <x v="0"/>
    <x v="783"/>
  </r>
  <r>
    <n v="1013"/>
    <d v="2023-10-20T00:00:00"/>
    <x v="9"/>
    <s v="David"/>
    <x v="3"/>
    <n v="6095.82"/>
    <n v="46"/>
    <x v="2"/>
    <n v="1648.8"/>
    <n v="1670.36"/>
    <s v="Returning"/>
    <x v="26"/>
    <s v="Credit Card"/>
    <x v="1"/>
    <x v="12"/>
    <n v="69921.2696"/>
    <x v="784"/>
    <x v="1"/>
    <x v="784"/>
  </r>
  <r>
    <n v="1086"/>
    <d v="2023-10-20T00:00:00"/>
    <x v="9"/>
    <s v="David"/>
    <x v="1"/>
    <n v="3577.07"/>
    <n v="32"/>
    <x v="1"/>
    <n v="84.86"/>
    <n v="517.17999999999995"/>
    <s v="Returning"/>
    <x v="3"/>
    <s v="Credit Card"/>
    <x v="1"/>
    <x v="3"/>
    <n v="13239.807999999999"/>
    <x v="785"/>
    <x v="0"/>
    <x v="785"/>
  </r>
  <r>
    <n v="1013"/>
    <d v="2023-10-21T00:00:00"/>
    <x v="9"/>
    <s v="David"/>
    <x v="3"/>
    <n v="5039.07"/>
    <n v="20"/>
    <x v="2"/>
    <n v="1533.36"/>
    <n v="1649.73999999999"/>
    <s v="Returning"/>
    <x v="8"/>
    <s v="Bank Transfer"/>
    <x v="0"/>
    <x v="12"/>
    <n v="29695.319999999818"/>
    <x v="786"/>
    <x v="1"/>
    <x v="786"/>
  </r>
  <r>
    <n v="1073"/>
    <d v="2023-10-21T00:00:00"/>
    <x v="9"/>
    <s v="Alice"/>
    <x v="2"/>
    <n v="1365.88"/>
    <n v="45"/>
    <x v="1"/>
    <n v="2558.09"/>
    <n v="2958.55"/>
    <s v="New"/>
    <x v="19"/>
    <s v="Cash"/>
    <x v="0"/>
    <x v="16"/>
    <n v="122483.97000000002"/>
    <x v="787"/>
    <x v="0"/>
    <x v="787"/>
  </r>
  <r>
    <n v="1012"/>
    <d v="2023-10-22T00:00:00"/>
    <x v="9"/>
    <s v="David"/>
    <x v="0"/>
    <n v="4384.88"/>
    <n v="34"/>
    <x v="1"/>
    <n v="2462.5500000000002"/>
    <n v="2521.77"/>
    <s v="New"/>
    <x v="5"/>
    <s v="Bank Transfer"/>
    <x v="1"/>
    <x v="19"/>
    <n v="67734.742200000008"/>
    <x v="788"/>
    <x v="1"/>
    <x v="788"/>
  </r>
  <r>
    <n v="1060"/>
    <d v="2023-10-22T00:00:00"/>
    <x v="9"/>
    <s v="Bob"/>
    <x v="0"/>
    <n v="2661.25"/>
    <n v="11"/>
    <x v="1"/>
    <n v="3648.04"/>
    <n v="4143.51"/>
    <s v="Returning"/>
    <x v="15"/>
    <s v="Credit Card"/>
    <x v="1"/>
    <x v="10"/>
    <n v="37830.246299999999"/>
    <x v="789"/>
    <x v="1"/>
    <x v="789"/>
  </r>
  <r>
    <n v="1099"/>
    <d v="2023-10-22T00:00:00"/>
    <x v="9"/>
    <s v="Bob"/>
    <x v="2"/>
    <n v="1514.14"/>
    <n v="43"/>
    <x v="0"/>
    <n v="906.47"/>
    <n v="1283.04"/>
    <s v="New"/>
    <x v="6"/>
    <s v="Cash"/>
    <x v="0"/>
    <x v="18"/>
    <n v="41929.747199999998"/>
    <x v="790"/>
    <x v="0"/>
    <x v="790"/>
  </r>
  <r>
    <n v="1057"/>
    <d v="2023-10-22T00:00:00"/>
    <x v="9"/>
    <s v="Eve"/>
    <x v="1"/>
    <n v="3297.97"/>
    <n v="40"/>
    <x v="0"/>
    <n v="3233.37"/>
    <n v="3723.21"/>
    <s v="New"/>
    <x v="23"/>
    <s v="Bank Transfer"/>
    <x v="1"/>
    <x v="2"/>
    <n v="116164.15200000002"/>
    <x v="791"/>
    <x v="1"/>
    <x v="791"/>
  </r>
  <r>
    <n v="1060"/>
    <d v="2023-10-23T00:00:00"/>
    <x v="9"/>
    <s v="Bob"/>
    <x v="2"/>
    <n v="6395.95"/>
    <n v="46"/>
    <x v="0"/>
    <n v="1747.05"/>
    <n v="1830.27"/>
    <s v="New"/>
    <x v="20"/>
    <s v="Bank Transfer"/>
    <x v="1"/>
    <x v="18"/>
    <n v="71563.557000000001"/>
    <x v="792"/>
    <x v="1"/>
    <x v="792"/>
  </r>
  <r>
    <n v="1073"/>
    <d v="2023-10-23T00:00:00"/>
    <x v="9"/>
    <s v="Charlie"/>
    <x v="1"/>
    <n v="4650.68"/>
    <n v="45"/>
    <x v="0"/>
    <n v="4369.5"/>
    <n v="4381.8900000000003"/>
    <s v="Returning"/>
    <x v="21"/>
    <s v="Credit Card"/>
    <x v="1"/>
    <x v="17"/>
    <n v="193241.34899999999"/>
    <x v="793"/>
    <x v="1"/>
    <x v="793"/>
  </r>
  <r>
    <n v="1054"/>
    <d v="2023-10-23T00:00:00"/>
    <x v="9"/>
    <s v="David"/>
    <x v="3"/>
    <n v="4252.54"/>
    <n v="8"/>
    <x v="3"/>
    <n v="4117.13"/>
    <n v="4177.0600000000004"/>
    <s v="Returning"/>
    <x v="2"/>
    <s v="Bank Transfer"/>
    <x v="1"/>
    <x v="12"/>
    <n v="25062.36"/>
    <x v="794"/>
    <x v="1"/>
    <x v="794"/>
  </r>
  <r>
    <n v="1054"/>
    <d v="2023-10-23T00:00:00"/>
    <x v="9"/>
    <s v="David"/>
    <x v="1"/>
    <n v="4392.47"/>
    <n v="48"/>
    <x v="2"/>
    <n v="4325.0200000000004"/>
    <n v="4391.67"/>
    <s v="Returning"/>
    <x v="25"/>
    <s v="Credit Card"/>
    <x v="1"/>
    <x v="3"/>
    <n v="177072.13439999998"/>
    <x v="795"/>
    <x v="1"/>
    <x v="795"/>
  </r>
  <r>
    <n v="1023"/>
    <d v="2023-10-23T00:00:00"/>
    <x v="9"/>
    <s v="David"/>
    <x v="1"/>
    <n v="9519.76"/>
    <n v="42"/>
    <x v="3"/>
    <n v="309.77999999999997"/>
    <n v="350.38"/>
    <s v="Returning"/>
    <x v="28"/>
    <s v="Credit Card"/>
    <x v="1"/>
    <x v="3"/>
    <n v="11919.927600000003"/>
    <x v="796"/>
    <x v="1"/>
    <x v="796"/>
  </r>
  <r>
    <n v="1087"/>
    <d v="2023-10-24T00:00:00"/>
    <x v="9"/>
    <s v="Bob"/>
    <x v="3"/>
    <n v="7825.62"/>
    <n v="28"/>
    <x v="0"/>
    <n v="551.83000000000004"/>
    <n v="569.63"/>
    <s v="New"/>
    <x v="29"/>
    <s v="Credit Card"/>
    <x v="1"/>
    <x v="5"/>
    <n v="13876.186799999999"/>
    <x v="797"/>
    <x v="1"/>
    <x v="797"/>
  </r>
  <r>
    <n v="1026"/>
    <d v="2023-10-24T00:00:00"/>
    <x v="9"/>
    <s v="David"/>
    <x v="3"/>
    <n v="2044.55"/>
    <n v="45"/>
    <x v="3"/>
    <n v="1741.66"/>
    <n v="2169.86"/>
    <s v="Returning"/>
    <x v="1"/>
    <s v="Credit Card"/>
    <x v="0"/>
    <x v="12"/>
    <n v="83973.581999999995"/>
    <x v="798"/>
    <x v="0"/>
    <x v="798"/>
  </r>
  <r>
    <n v="1097"/>
    <d v="2023-10-26T00:00:00"/>
    <x v="9"/>
    <s v="Alice"/>
    <x v="3"/>
    <n v="7633.98"/>
    <n v="27"/>
    <x v="2"/>
    <n v="4686.79"/>
    <n v="5046.51"/>
    <s v="Returning"/>
    <x v="0"/>
    <s v="Credit Card"/>
    <x v="1"/>
    <x v="9"/>
    <n v="129442.98150000001"/>
    <x v="799"/>
    <x v="0"/>
    <x v="799"/>
  </r>
  <r>
    <n v="1089"/>
    <d v="2023-10-27T00:00:00"/>
    <x v="9"/>
    <s v="David"/>
    <x v="0"/>
    <n v="7751.92"/>
    <n v="43"/>
    <x v="1"/>
    <n v="3851.45"/>
    <n v="4186.9799999999996"/>
    <s v="Returning"/>
    <x v="13"/>
    <s v="Credit Card"/>
    <x v="0"/>
    <x v="19"/>
    <n v="126028.09799999998"/>
    <x v="800"/>
    <x v="1"/>
    <x v="800"/>
  </r>
  <r>
    <n v="1087"/>
    <d v="2023-10-27T00:00:00"/>
    <x v="9"/>
    <s v="Eve"/>
    <x v="0"/>
    <n v="1515.71"/>
    <n v="27"/>
    <x v="3"/>
    <n v="3139.36"/>
    <n v="3423.66"/>
    <s v="New"/>
    <x v="30"/>
    <s v="Credit Card"/>
    <x v="0"/>
    <x v="0"/>
    <n v="75799.832400000014"/>
    <x v="801"/>
    <x v="1"/>
    <x v="801"/>
  </r>
  <r>
    <n v="1033"/>
    <d v="2023-10-28T00:00:00"/>
    <x v="9"/>
    <s v="David"/>
    <x v="0"/>
    <n v="1115.42"/>
    <n v="43"/>
    <x v="0"/>
    <n v="4781.42"/>
    <n v="4864.34"/>
    <s v="Returning"/>
    <x v="2"/>
    <s v="Bank Transfer"/>
    <x v="0"/>
    <x v="19"/>
    <n v="156874.965"/>
    <x v="802"/>
    <x v="1"/>
    <x v="802"/>
  </r>
  <r>
    <n v="1091"/>
    <d v="2023-10-28T00:00:00"/>
    <x v="9"/>
    <s v="Bob"/>
    <x v="2"/>
    <n v="7611.28"/>
    <n v="39"/>
    <x v="1"/>
    <n v="2184.4899999999998"/>
    <n v="2540.4199999999901"/>
    <s v="Returning"/>
    <x v="10"/>
    <s v="Bank Transfer"/>
    <x v="0"/>
    <x v="18"/>
    <n v="72325.757399999711"/>
    <x v="803"/>
    <x v="1"/>
    <x v="803"/>
  </r>
  <r>
    <n v="1079"/>
    <d v="2023-10-28T00:00:00"/>
    <x v="9"/>
    <s v="Bob"/>
    <x v="2"/>
    <n v="1558.03"/>
    <n v="38"/>
    <x v="1"/>
    <n v="1127.76"/>
    <n v="1265.6600000000001"/>
    <s v="Returning"/>
    <x v="12"/>
    <s v="Bank Transfer"/>
    <x v="1"/>
    <x v="18"/>
    <n v="35590.359200000006"/>
    <x v="804"/>
    <x v="1"/>
    <x v="804"/>
  </r>
  <r>
    <n v="1081"/>
    <d v="2023-10-28T00:00:00"/>
    <x v="9"/>
    <s v="Charlie"/>
    <x v="0"/>
    <n v="5571.36"/>
    <n v="23"/>
    <x v="3"/>
    <n v="1411.37"/>
    <n v="1675.35"/>
    <s v="New"/>
    <x v="5"/>
    <s v="Cash"/>
    <x v="1"/>
    <x v="1"/>
    <n v="30441.109499999999"/>
    <x v="805"/>
    <x v="1"/>
    <x v="805"/>
  </r>
  <r>
    <n v="1044"/>
    <d v="2023-10-29T00:00:00"/>
    <x v="9"/>
    <s v="Charlie"/>
    <x v="0"/>
    <n v="1996.77"/>
    <n v="11"/>
    <x v="0"/>
    <n v="1812.66"/>
    <n v="2196.3000000000002"/>
    <s v="New"/>
    <x v="19"/>
    <s v="Cash"/>
    <x v="0"/>
    <x v="1"/>
    <n v="22226.556000000004"/>
    <x v="806"/>
    <x v="0"/>
    <x v="806"/>
  </r>
  <r>
    <n v="1019"/>
    <d v="2023-10-29T00:00:00"/>
    <x v="9"/>
    <s v="David"/>
    <x v="2"/>
    <n v="5952.19"/>
    <n v="31"/>
    <x v="3"/>
    <n v="333.69"/>
    <n v="685.1"/>
    <s v="New"/>
    <x v="17"/>
    <s v="Bank Transfer"/>
    <x v="0"/>
    <x v="4"/>
    <n v="20388.576000000001"/>
    <x v="807"/>
    <x v="0"/>
    <x v="807"/>
  </r>
  <r>
    <n v="1054"/>
    <d v="2023-10-29T00:00:00"/>
    <x v="9"/>
    <s v="David"/>
    <x v="2"/>
    <n v="4025.88"/>
    <n v="8"/>
    <x v="0"/>
    <n v="3610.21"/>
    <n v="3817.99"/>
    <s v="Returning"/>
    <x v="20"/>
    <s v="Cash"/>
    <x v="1"/>
    <x v="4"/>
    <n v="25962.331999999999"/>
    <x v="808"/>
    <x v="1"/>
    <x v="808"/>
  </r>
  <r>
    <n v="1034"/>
    <d v="2023-10-29T00:00:00"/>
    <x v="9"/>
    <s v="David"/>
    <x v="0"/>
    <n v="8919.4699999999993"/>
    <n v="34"/>
    <x v="3"/>
    <n v="978.15"/>
    <n v="1040.21"/>
    <s v="New"/>
    <x v="7"/>
    <s v="Credit Card"/>
    <x v="1"/>
    <x v="19"/>
    <n v="31123.083200000001"/>
    <x v="809"/>
    <x v="1"/>
    <x v="809"/>
  </r>
  <r>
    <n v="1017"/>
    <d v="2023-10-29T00:00:00"/>
    <x v="9"/>
    <s v="Eve"/>
    <x v="3"/>
    <n v="2141.9"/>
    <n v="1"/>
    <x v="1"/>
    <n v="641.67999999999995"/>
    <n v="752.24"/>
    <s v="New"/>
    <x v="23"/>
    <s v="Bank Transfer"/>
    <x v="0"/>
    <x v="7"/>
    <n v="586.74720000000002"/>
    <x v="810"/>
    <x v="1"/>
    <x v="810"/>
  </r>
  <r>
    <n v="1071"/>
    <d v="2023-10-30T00:00:00"/>
    <x v="9"/>
    <s v="Alice"/>
    <x v="2"/>
    <n v="189.48"/>
    <n v="22"/>
    <x v="2"/>
    <n v="2701.39"/>
    <n v="3185.81"/>
    <s v="New"/>
    <x v="18"/>
    <s v="Bank Transfer"/>
    <x v="0"/>
    <x v="16"/>
    <n v="69386.941800000001"/>
    <x v="811"/>
    <x v="0"/>
    <x v="811"/>
  </r>
  <r>
    <n v="1097"/>
    <d v="2023-10-30T00:00:00"/>
    <x v="9"/>
    <s v="Eve"/>
    <x v="2"/>
    <n v="6600.65"/>
    <n v="49"/>
    <x v="2"/>
    <n v="4264.46"/>
    <n v="4315.5200000000004"/>
    <s v="New"/>
    <x v="9"/>
    <s v="Cash"/>
    <x v="1"/>
    <x v="11"/>
    <n v="196658.2464"/>
    <x v="812"/>
    <x v="1"/>
    <x v="812"/>
  </r>
  <r>
    <n v="1049"/>
    <d v="2023-10-30T00:00:00"/>
    <x v="9"/>
    <s v="Alice"/>
    <x v="3"/>
    <n v="2947.56"/>
    <n v="38"/>
    <x v="3"/>
    <n v="4243.9799999999996"/>
    <n v="4474.5099999999902"/>
    <s v="New"/>
    <x v="18"/>
    <s v="Credit Card"/>
    <x v="0"/>
    <x v="9"/>
    <n v="168331.06619999962"/>
    <x v="813"/>
    <x v="0"/>
    <x v="813"/>
  </r>
  <r>
    <n v="1029"/>
    <d v="2023-10-30T00:00:00"/>
    <x v="9"/>
    <s v="Eve"/>
    <x v="3"/>
    <n v="4333.25"/>
    <n v="16"/>
    <x v="2"/>
    <n v="2572.8000000000002"/>
    <n v="2760.6"/>
    <s v="Returning"/>
    <x v="20"/>
    <s v="Credit Card"/>
    <x v="1"/>
    <x v="7"/>
    <n v="37544.159999999996"/>
    <x v="814"/>
    <x v="1"/>
    <x v="814"/>
  </r>
  <r>
    <n v="1053"/>
    <d v="2023-10-30T00:00:00"/>
    <x v="9"/>
    <s v="David"/>
    <x v="0"/>
    <n v="6033.09"/>
    <n v="1"/>
    <x v="3"/>
    <n v="2258.44"/>
    <n v="2475.56"/>
    <s v="New"/>
    <x v="2"/>
    <s v="Cash"/>
    <x v="0"/>
    <x v="19"/>
    <n v="1856.67"/>
    <x v="815"/>
    <x v="1"/>
    <x v="815"/>
  </r>
  <r>
    <n v="1033"/>
    <d v="2023-10-31T00:00:00"/>
    <x v="9"/>
    <s v="Eve"/>
    <x v="3"/>
    <n v="7982.79"/>
    <n v="18"/>
    <x v="1"/>
    <n v="3124.48"/>
    <n v="3553.27"/>
    <s v="Returning"/>
    <x v="7"/>
    <s v="Cash"/>
    <x v="1"/>
    <x v="7"/>
    <n v="56283.796799999996"/>
    <x v="816"/>
    <x v="0"/>
    <x v="816"/>
  </r>
  <r>
    <n v="1062"/>
    <d v="2023-11-01T00:00:00"/>
    <x v="10"/>
    <s v="Bob"/>
    <x v="3"/>
    <n v="3720.24"/>
    <n v="36"/>
    <x v="3"/>
    <n v="1050.6400000000001"/>
    <n v="1167.33"/>
    <s v="New"/>
    <x v="23"/>
    <s v="Cash"/>
    <x v="0"/>
    <x v="5"/>
    <n v="32778.626400000001"/>
    <x v="817"/>
    <x v="1"/>
    <x v="817"/>
  </r>
  <r>
    <n v="1009"/>
    <d v="2023-11-01T00:00:00"/>
    <x v="10"/>
    <s v="Bob"/>
    <x v="1"/>
    <n v="7172.8"/>
    <n v="14"/>
    <x v="3"/>
    <n v="547.79"/>
    <n v="958.76"/>
    <s v="Returning"/>
    <x v="9"/>
    <s v="Credit Card"/>
    <x v="1"/>
    <x v="8"/>
    <n v="12483.055199999999"/>
    <x v="818"/>
    <x v="0"/>
    <x v="818"/>
  </r>
  <r>
    <n v="1026"/>
    <d v="2023-11-01T00:00:00"/>
    <x v="10"/>
    <s v="Alice"/>
    <x v="1"/>
    <n v="7895.13"/>
    <n v="36"/>
    <x v="0"/>
    <n v="3067.05"/>
    <n v="3386.33"/>
    <s v="New"/>
    <x v="3"/>
    <s v="Bank Transfer"/>
    <x v="0"/>
    <x v="15"/>
    <n v="97526.304000000004"/>
    <x v="819"/>
    <x v="1"/>
    <x v="819"/>
  </r>
  <r>
    <n v="1096"/>
    <d v="2023-11-01T00:00:00"/>
    <x v="10"/>
    <s v="Bob"/>
    <x v="1"/>
    <n v="8718.2199999999993"/>
    <n v="17"/>
    <x v="3"/>
    <n v="2774.24"/>
    <n v="3069.9399999999901"/>
    <s v="Returning"/>
    <x v="24"/>
    <s v="Bank Transfer"/>
    <x v="1"/>
    <x v="8"/>
    <n v="40185.514599999871"/>
    <x v="820"/>
    <x v="1"/>
    <x v="820"/>
  </r>
  <r>
    <n v="1093"/>
    <d v="2023-11-01T00:00:00"/>
    <x v="10"/>
    <s v="Charlie"/>
    <x v="0"/>
    <n v="664.09"/>
    <n v="46"/>
    <x v="0"/>
    <n v="401.64"/>
    <n v="757.26"/>
    <s v="New"/>
    <x v="5"/>
    <s v="Credit Card"/>
    <x v="1"/>
    <x v="1"/>
    <n v="27518.828400000002"/>
    <x v="821"/>
    <x v="0"/>
    <x v="821"/>
  </r>
  <r>
    <n v="1028"/>
    <d v="2023-11-01T00:00:00"/>
    <x v="10"/>
    <s v="Bob"/>
    <x v="3"/>
    <n v="7946.69"/>
    <n v="24"/>
    <x v="3"/>
    <n v="911.11"/>
    <n v="1214.56"/>
    <s v="New"/>
    <x v="23"/>
    <s v="Bank Transfer"/>
    <x v="0"/>
    <x v="5"/>
    <n v="22736.563200000001"/>
    <x v="822"/>
    <x v="0"/>
    <x v="822"/>
  </r>
  <r>
    <n v="1069"/>
    <d v="2023-11-02T00:00:00"/>
    <x v="10"/>
    <s v="Charlie"/>
    <x v="0"/>
    <n v="6283.68"/>
    <n v="23"/>
    <x v="1"/>
    <n v="530.24"/>
    <n v="987.41"/>
    <s v="Returning"/>
    <x v="24"/>
    <s v="Credit Card"/>
    <x v="0"/>
    <x v="1"/>
    <n v="17487.0311"/>
    <x v="823"/>
    <x v="0"/>
    <x v="823"/>
  </r>
  <r>
    <n v="1058"/>
    <d v="2023-11-03T00:00:00"/>
    <x v="10"/>
    <s v="David"/>
    <x v="2"/>
    <n v="4050.45"/>
    <n v="42"/>
    <x v="0"/>
    <n v="3600.95"/>
    <n v="3702.8399999999901"/>
    <s v="Returning"/>
    <x v="18"/>
    <s v="Cash"/>
    <x v="1"/>
    <x v="4"/>
    <n v="153964.08719999957"/>
    <x v="824"/>
    <x v="0"/>
    <x v="824"/>
  </r>
  <r>
    <n v="1028"/>
    <d v="2023-11-03T00:00:00"/>
    <x v="10"/>
    <s v="Alice"/>
    <x v="0"/>
    <n v="5755.48"/>
    <n v="38"/>
    <x v="0"/>
    <n v="1234.69"/>
    <n v="1511.26"/>
    <s v="New"/>
    <x v="8"/>
    <s v="Bank Transfer"/>
    <x v="0"/>
    <x v="13"/>
    <n v="51685.092000000004"/>
    <x v="825"/>
    <x v="0"/>
    <x v="825"/>
  </r>
  <r>
    <n v="1065"/>
    <d v="2023-11-05T00:00:00"/>
    <x v="10"/>
    <s v="Alice"/>
    <x v="3"/>
    <n v="9519.16"/>
    <n v="3"/>
    <x v="1"/>
    <n v="4173.04"/>
    <n v="4362.4399999999996"/>
    <s v="New"/>
    <x v="24"/>
    <s v="Bank Transfer"/>
    <x v="1"/>
    <x v="9"/>
    <n v="10077.2364"/>
    <x v="826"/>
    <x v="1"/>
    <x v="826"/>
  </r>
  <r>
    <n v="1075"/>
    <d v="2023-11-05T00:00:00"/>
    <x v="10"/>
    <s v="Bob"/>
    <x v="3"/>
    <n v="8127.7"/>
    <n v="37"/>
    <x v="3"/>
    <n v="1675.51"/>
    <n v="1906.6399999999901"/>
    <s v="New"/>
    <x v="29"/>
    <s v="Bank Transfer"/>
    <x v="0"/>
    <x v="5"/>
    <n v="61374.741599999681"/>
    <x v="827"/>
    <x v="1"/>
    <x v="827"/>
  </r>
  <r>
    <n v="1087"/>
    <d v="2023-11-05T00:00:00"/>
    <x v="10"/>
    <s v="Eve"/>
    <x v="3"/>
    <n v="2106.06"/>
    <n v="30"/>
    <x v="2"/>
    <n v="698.74"/>
    <n v="882.28"/>
    <s v="Returning"/>
    <x v="20"/>
    <s v="Credit Card"/>
    <x v="0"/>
    <x v="7"/>
    <n v="22498.14"/>
    <x v="828"/>
    <x v="0"/>
    <x v="828"/>
  </r>
  <r>
    <n v="1072"/>
    <d v="2023-11-05T00:00:00"/>
    <x v="10"/>
    <s v="David"/>
    <x v="2"/>
    <n v="5969.12"/>
    <n v="39"/>
    <x v="0"/>
    <n v="591.98"/>
    <n v="934.04"/>
    <s v="New"/>
    <x v="12"/>
    <s v="Bank Transfer"/>
    <x v="1"/>
    <x v="4"/>
    <n v="26956.394399999997"/>
    <x v="829"/>
    <x v="0"/>
    <x v="829"/>
  </r>
  <r>
    <n v="1086"/>
    <d v="2023-11-05T00:00:00"/>
    <x v="10"/>
    <s v="Alice"/>
    <x v="1"/>
    <n v="2928.5"/>
    <n v="10"/>
    <x v="1"/>
    <n v="2273.91"/>
    <n v="2578.7999999999902"/>
    <s v="New"/>
    <x v="1"/>
    <s v="Cash"/>
    <x v="0"/>
    <x v="15"/>
    <n v="22177.679999999913"/>
    <x v="830"/>
    <x v="1"/>
    <x v="830"/>
  </r>
  <r>
    <n v="1062"/>
    <d v="2023-11-06T00:00:00"/>
    <x v="10"/>
    <s v="David"/>
    <x v="3"/>
    <n v="2605.71"/>
    <n v="25"/>
    <x v="3"/>
    <n v="2361.0500000000002"/>
    <n v="2616.19"/>
    <s v="New"/>
    <x v="13"/>
    <s v="Bank Transfer"/>
    <x v="1"/>
    <x v="12"/>
    <n v="45783.324999999997"/>
    <x v="831"/>
    <x v="1"/>
    <x v="831"/>
  </r>
  <r>
    <n v="1006"/>
    <d v="2023-11-06T00:00:00"/>
    <x v="10"/>
    <s v="Bob"/>
    <x v="1"/>
    <n v="189.64"/>
    <n v="22"/>
    <x v="3"/>
    <n v="834.32"/>
    <n v="1098.97"/>
    <s v="Returning"/>
    <x v="15"/>
    <s v="Cash"/>
    <x v="0"/>
    <x v="8"/>
    <n v="20067.192199999998"/>
    <x v="832"/>
    <x v="0"/>
    <x v="832"/>
  </r>
  <r>
    <n v="1071"/>
    <d v="2023-11-06T00:00:00"/>
    <x v="10"/>
    <s v="David"/>
    <x v="0"/>
    <n v="7262.09"/>
    <n v="47"/>
    <x v="3"/>
    <n v="3942.34"/>
    <n v="4142.09"/>
    <s v="Returning"/>
    <x v="11"/>
    <s v="Credit Card"/>
    <x v="1"/>
    <x v="19"/>
    <n v="188837.88310000001"/>
    <x v="833"/>
    <x v="0"/>
    <x v="833"/>
  </r>
  <r>
    <n v="1088"/>
    <d v="2023-11-06T00:00:00"/>
    <x v="10"/>
    <s v="David"/>
    <x v="1"/>
    <n v="6772.54"/>
    <n v="8"/>
    <x v="3"/>
    <n v="1786.35"/>
    <n v="1935.29"/>
    <s v="New"/>
    <x v="17"/>
    <s v="Cash"/>
    <x v="0"/>
    <x v="3"/>
    <n v="14863.027199999999"/>
    <x v="834"/>
    <x v="0"/>
    <x v="834"/>
  </r>
  <r>
    <n v="1089"/>
    <d v="2023-11-07T00:00:00"/>
    <x v="10"/>
    <s v="Bob"/>
    <x v="2"/>
    <n v="2945.36"/>
    <n v="47"/>
    <x v="1"/>
    <n v="4157.62"/>
    <n v="4314.5599999999904"/>
    <s v="New"/>
    <x v="15"/>
    <s v="Bank Transfer"/>
    <x v="1"/>
    <x v="18"/>
    <n v="168310.98559999961"/>
    <x v="835"/>
    <x v="1"/>
    <x v="835"/>
  </r>
  <r>
    <n v="1098"/>
    <d v="2023-11-07T00:00:00"/>
    <x v="10"/>
    <s v="Alice"/>
    <x v="2"/>
    <n v="3166.9"/>
    <n v="31"/>
    <x v="3"/>
    <n v="2407.8000000000002"/>
    <n v="2502.7600000000002"/>
    <s v="Returning"/>
    <x v="10"/>
    <s v="Cash"/>
    <x v="1"/>
    <x v="16"/>
    <n v="56637.458800000008"/>
    <x v="836"/>
    <x v="1"/>
    <x v="836"/>
  </r>
  <r>
    <n v="1057"/>
    <d v="2023-11-07T00:00:00"/>
    <x v="10"/>
    <s v="Bob"/>
    <x v="3"/>
    <n v="7084.06"/>
    <n v="26"/>
    <x v="0"/>
    <n v="1291.82"/>
    <n v="1308.4399999999901"/>
    <s v="Returning"/>
    <x v="9"/>
    <s v="Credit Card"/>
    <x v="0"/>
    <x v="5"/>
    <n v="31638.079199999753"/>
    <x v="837"/>
    <x v="1"/>
    <x v="837"/>
  </r>
  <r>
    <n v="1095"/>
    <d v="2023-11-07T00:00:00"/>
    <x v="10"/>
    <s v="Charlie"/>
    <x v="2"/>
    <n v="6970.1"/>
    <n v="32"/>
    <x v="0"/>
    <n v="4266.6400000000003"/>
    <n v="4523.3599999999997"/>
    <s v="New"/>
    <x v="13"/>
    <s v="Bank Transfer"/>
    <x v="1"/>
    <x v="14"/>
    <n v="101323.26399999998"/>
    <x v="838"/>
    <x v="1"/>
    <x v="838"/>
  </r>
  <r>
    <n v="1052"/>
    <d v="2023-11-08T00:00:00"/>
    <x v="10"/>
    <s v="Charlie"/>
    <x v="3"/>
    <n v="2072.7800000000002"/>
    <n v="18"/>
    <x v="1"/>
    <n v="3271.62"/>
    <n v="3722.38"/>
    <s v="Returning"/>
    <x v="28"/>
    <s v="Bank Transfer"/>
    <x v="1"/>
    <x v="6"/>
    <n v="54272.300400000007"/>
    <x v="839"/>
    <x v="1"/>
    <x v="839"/>
  </r>
  <r>
    <n v="1059"/>
    <d v="2023-11-08T00:00:00"/>
    <x v="10"/>
    <s v="David"/>
    <x v="1"/>
    <n v="8466.7000000000007"/>
    <n v="17"/>
    <x v="0"/>
    <n v="1780.14"/>
    <n v="2185.42"/>
    <s v="Returning"/>
    <x v="20"/>
    <s v="Credit Card"/>
    <x v="1"/>
    <x v="3"/>
    <n v="31579.319"/>
    <x v="840"/>
    <x v="0"/>
    <x v="840"/>
  </r>
  <r>
    <n v="1032"/>
    <d v="2023-11-09T00:00:00"/>
    <x v="10"/>
    <s v="Bob"/>
    <x v="3"/>
    <n v="804.47"/>
    <n v="25"/>
    <x v="2"/>
    <n v="2934.3"/>
    <n v="3337.4"/>
    <s v="Returning"/>
    <x v="2"/>
    <s v="Credit Card"/>
    <x v="1"/>
    <x v="5"/>
    <n v="62576.250000000007"/>
    <x v="841"/>
    <x v="1"/>
    <x v="841"/>
  </r>
  <r>
    <n v="1038"/>
    <d v="2023-11-09T00:00:00"/>
    <x v="10"/>
    <s v="David"/>
    <x v="3"/>
    <n v="6966.82"/>
    <n v="1"/>
    <x v="3"/>
    <n v="1281.6500000000001"/>
    <n v="1709.71"/>
    <s v="Returning"/>
    <x v="1"/>
    <s v="Credit Card"/>
    <x v="0"/>
    <x v="12"/>
    <n v="1470.3506"/>
    <x v="842"/>
    <x v="0"/>
    <x v="842"/>
  </r>
  <r>
    <n v="1033"/>
    <d v="2023-11-09T00:00:00"/>
    <x v="10"/>
    <s v="David"/>
    <x v="3"/>
    <n v="7370.99"/>
    <n v="6"/>
    <x v="0"/>
    <n v="1621.07"/>
    <n v="1687.5"/>
    <s v="Returning"/>
    <x v="7"/>
    <s v="Credit Card"/>
    <x v="0"/>
    <x v="12"/>
    <n v="8910"/>
    <x v="843"/>
    <x v="1"/>
    <x v="843"/>
  </r>
  <r>
    <n v="1014"/>
    <d v="2023-11-09T00:00:00"/>
    <x v="10"/>
    <s v="David"/>
    <x v="0"/>
    <n v="6016.92"/>
    <n v="9"/>
    <x v="2"/>
    <n v="132.47"/>
    <n v="316.39"/>
    <s v="New"/>
    <x v="1"/>
    <s v="Credit Card"/>
    <x v="0"/>
    <x v="19"/>
    <n v="2448.8586"/>
    <x v="844"/>
    <x v="0"/>
    <x v="844"/>
  </r>
  <r>
    <n v="1016"/>
    <d v="2023-11-09T00:00:00"/>
    <x v="10"/>
    <s v="Charlie"/>
    <x v="1"/>
    <n v="3402.92"/>
    <n v="24"/>
    <x v="1"/>
    <n v="88.44"/>
    <n v="338.94"/>
    <s v="New"/>
    <x v="14"/>
    <s v="Cash"/>
    <x v="0"/>
    <x v="17"/>
    <n v="5775.5375999999997"/>
    <x v="845"/>
    <x v="0"/>
    <x v="845"/>
  </r>
  <r>
    <n v="1019"/>
    <d v="2023-11-10T00:00:00"/>
    <x v="10"/>
    <s v="Bob"/>
    <x v="3"/>
    <n v="7632.43"/>
    <n v="33"/>
    <x v="1"/>
    <n v="1362.31"/>
    <n v="1486.29"/>
    <s v="Returning"/>
    <x v="30"/>
    <s v="Credit Card"/>
    <x v="1"/>
    <x v="5"/>
    <n v="40219.007400000002"/>
    <x v="846"/>
    <x v="1"/>
    <x v="846"/>
  </r>
  <r>
    <n v="1090"/>
    <d v="2023-11-10T00:00:00"/>
    <x v="10"/>
    <s v="Alice"/>
    <x v="0"/>
    <n v="3349.51"/>
    <n v="16"/>
    <x v="0"/>
    <n v="2183.37"/>
    <n v="2263.3599999999901"/>
    <s v="Returning"/>
    <x v="4"/>
    <s v="Bank Transfer"/>
    <x v="1"/>
    <x v="13"/>
    <n v="36213.759999999842"/>
    <x v="847"/>
    <x v="0"/>
    <x v="847"/>
  </r>
  <r>
    <n v="1024"/>
    <d v="2023-11-11T00:00:00"/>
    <x v="10"/>
    <s v="Eve"/>
    <x v="2"/>
    <n v="6607.8"/>
    <n v="21"/>
    <x v="3"/>
    <n v="622.01"/>
    <n v="641.09"/>
    <s v="Returning"/>
    <x v="4"/>
    <s v="Bank Transfer"/>
    <x v="1"/>
    <x v="11"/>
    <n v="13462.890000000001"/>
    <x v="848"/>
    <x v="0"/>
    <x v="848"/>
  </r>
  <r>
    <n v="1080"/>
    <d v="2023-11-11T00:00:00"/>
    <x v="10"/>
    <s v="Alice"/>
    <x v="3"/>
    <n v="3602.51"/>
    <n v="32"/>
    <x v="2"/>
    <n v="3414.54"/>
    <n v="3753.83"/>
    <s v="New"/>
    <x v="23"/>
    <s v="Cash"/>
    <x v="1"/>
    <x v="9"/>
    <n v="93695.596799999999"/>
    <x v="849"/>
    <x v="1"/>
    <x v="849"/>
  </r>
  <r>
    <n v="1001"/>
    <d v="2023-11-12T00:00:00"/>
    <x v="10"/>
    <s v="Alice"/>
    <x v="0"/>
    <n v="715.81"/>
    <n v="8"/>
    <x v="2"/>
    <n v="3657.91"/>
    <n v="3729.27"/>
    <s v="New"/>
    <x v="26"/>
    <s v="Bank Transfer"/>
    <x v="1"/>
    <x v="13"/>
    <n v="27149.085600000002"/>
    <x v="850"/>
    <x v="1"/>
    <x v="850"/>
  </r>
  <r>
    <n v="1062"/>
    <d v="2023-11-12T00:00:00"/>
    <x v="10"/>
    <s v="Eve"/>
    <x v="1"/>
    <n v="8681.0300000000007"/>
    <n v="9"/>
    <x v="2"/>
    <n v="1468.05"/>
    <n v="1838.21"/>
    <s v="New"/>
    <x v="20"/>
    <s v="Bank Transfer"/>
    <x v="1"/>
    <x v="2"/>
    <n v="14062.306499999999"/>
    <x v="851"/>
    <x v="0"/>
    <x v="851"/>
  </r>
  <r>
    <n v="1070"/>
    <d v="2023-11-12T00:00:00"/>
    <x v="10"/>
    <s v="Bob"/>
    <x v="1"/>
    <n v="7448.31"/>
    <n v="9"/>
    <x v="2"/>
    <n v="310.24"/>
    <n v="451.81"/>
    <s v="Returning"/>
    <x v="8"/>
    <s v="Cash"/>
    <x v="1"/>
    <x v="8"/>
    <n v="3659.6610000000001"/>
    <x v="852"/>
    <x v="0"/>
    <x v="852"/>
  </r>
  <r>
    <n v="1005"/>
    <d v="2023-11-12T00:00:00"/>
    <x v="10"/>
    <s v="Eve"/>
    <x v="3"/>
    <n v="2191.1999999999998"/>
    <n v="28"/>
    <x v="0"/>
    <n v="3592.32"/>
    <n v="3813.48"/>
    <s v="New"/>
    <x v="9"/>
    <s v="Credit Card"/>
    <x v="1"/>
    <x v="7"/>
    <n v="99303.019199999995"/>
    <x v="853"/>
    <x v="1"/>
    <x v="853"/>
  </r>
  <r>
    <n v="1050"/>
    <d v="2023-11-13T00:00:00"/>
    <x v="10"/>
    <s v="Alice"/>
    <x v="0"/>
    <n v="4638.47"/>
    <n v="28"/>
    <x v="3"/>
    <n v="1711.63"/>
    <n v="1951.24"/>
    <s v="New"/>
    <x v="23"/>
    <s v="Cash"/>
    <x v="0"/>
    <x v="13"/>
    <n v="42615.081600000005"/>
    <x v="854"/>
    <x v="1"/>
    <x v="854"/>
  </r>
  <r>
    <n v="1033"/>
    <d v="2023-11-14T00:00:00"/>
    <x v="10"/>
    <s v="David"/>
    <x v="1"/>
    <n v="4011.8"/>
    <n v="23"/>
    <x v="1"/>
    <n v="2981.5"/>
    <n v="3360.4"/>
    <s v="Returning"/>
    <x v="23"/>
    <s v="Bank Transfer"/>
    <x v="1"/>
    <x v="3"/>
    <n v="60285.576000000001"/>
    <x v="855"/>
    <x v="1"/>
    <x v="855"/>
  </r>
  <r>
    <n v="1085"/>
    <d v="2023-11-14T00:00:00"/>
    <x v="10"/>
    <s v="Charlie"/>
    <x v="1"/>
    <n v="2038.75"/>
    <n v="32"/>
    <x v="1"/>
    <n v="1074.93"/>
    <n v="1492.48"/>
    <s v="Returning"/>
    <x v="17"/>
    <s v="Credit Card"/>
    <x v="1"/>
    <x v="17"/>
    <n v="45848.9856"/>
    <x v="856"/>
    <x v="0"/>
    <x v="856"/>
  </r>
  <r>
    <n v="1012"/>
    <d v="2023-11-14T00:00:00"/>
    <x v="10"/>
    <s v="Eve"/>
    <x v="0"/>
    <n v="519.98"/>
    <n v="6"/>
    <x v="0"/>
    <n v="3609.42"/>
    <n v="4082.62"/>
    <s v="Returning"/>
    <x v="13"/>
    <s v="Bank Transfer"/>
    <x v="1"/>
    <x v="0"/>
    <n v="17147.004000000001"/>
    <x v="857"/>
    <x v="1"/>
    <x v="857"/>
  </r>
  <r>
    <n v="1092"/>
    <d v="2023-11-14T00:00:00"/>
    <x v="10"/>
    <s v="Eve"/>
    <x v="3"/>
    <n v="6528.29"/>
    <n v="28"/>
    <x v="0"/>
    <n v="3936.69"/>
    <n v="4362.51"/>
    <s v="Returning"/>
    <x v="9"/>
    <s v="Credit Card"/>
    <x v="1"/>
    <x v="7"/>
    <n v="113599.7604"/>
    <x v="858"/>
    <x v="0"/>
    <x v="858"/>
  </r>
  <r>
    <n v="1068"/>
    <d v="2023-11-14T00:00:00"/>
    <x v="10"/>
    <s v="Charlie"/>
    <x v="2"/>
    <n v="3607.29"/>
    <n v="42"/>
    <x v="0"/>
    <n v="1218.18"/>
    <n v="1566.36"/>
    <s v="Returning"/>
    <x v="11"/>
    <s v="Credit Card"/>
    <x v="1"/>
    <x v="14"/>
    <n v="63813.506399999991"/>
    <x v="859"/>
    <x v="0"/>
    <x v="859"/>
  </r>
  <r>
    <n v="1090"/>
    <d v="2023-11-14T00:00:00"/>
    <x v="10"/>
    <s v="Bob"/>
    <x v="3"/>
    <n v="6575.91"/>
    <n v="1"/>
    <x v="0"/>
    <n v="60.28"/>
    <n v="260.73"/>
    <s v="Returning"/>
    <x v="15"/>
    <s v="Cash"/>
    <x v="0"/>
    <x v="5"/>
    <n v="216.4059"/>
    <x v="860"/>
    <x v="0"/>
    <x v="860"/>
  </r>
  <r>
    <n v="1001"/>
    <d v="2023-11-14T00:00:00"/>
    <x v="10"/>
    <s v="David"/>
    <x v="0"/>
    <n v="4944.99"/>
    <n v="36"/>
    <x v="1"/>
    <n v="666.84"/>
    <n v="682.24"/>
    <s v="New"/>
    <x v="25"/>
    <s v="Bank Transfer"/>
    <x v="1"/>
    <x v="19"/>
    <n v="20630.937599999997"/>
    <x v="861"/>
    <x v="1"/>
    <x v="861"/>
  </r>
  <r>
    <n v="1012"/>
    <d v="2023-11-14T00:00:00"/>
    <x v="10"/>
    <s v="David"/>
    <x v="0"/>
    <n v="4976.43"/>
    <n v="14"/>
    <x v="2"/>
    <n v="1185.5"/>
    <n v="1271.45"/>
    <s v="Returning"/>
    <x v="11"/>
    <s v="Bank Transfer"/>
    <x v="1"/>
    <x v="19"/>
    <n v="17266.290999999997"/>
    <x v="862"/>
    <x v="0"/>
    <x v="862"/>
  </r>
  <r>
    <n v="1100"/>
    <d v="2023-11-15T00:00:00"/>
    <x v="10"/>
    <s v="Eve"/>
    <x v="3"/>
    <n v="672.66"/>
    <n v="2"/>
    <x v="1"/>
    <n v="1036.76"/>
    <n v="1189.3499999999999"/>
    <s v="New"/>
    <x v="10"/>
    <s v="Bank Transfer"/>
    <x v="0"/>
    <x v="7"/>
    <n v="1736.4509999999998"/>
    <x v="863"/>
    <x v="1"/>
    <x v="863"/>
  </r>
  <r>
    <n v="1032"/>
    <d v="2023-11-15T00:00:00"/>
    <x v="10"/>
    <s v="Alice"/>
    <x v="2"/>
    <n v="9413.77"/>
    <n v="1"/>
    <x v="3"/>
    <n v="651"/>
    <n v="865.76"/>
    <s v="Returning"/>
    <x v="26"/>
    <s v="Bank Transfer"/>
    <x v="1"/>
    <x v="16"/>
    <n v="787.84159999999997"/>
    <x v="864"/>
    <x v="0"/>
    <x v="864"/>
  </r>
  <r>
    <n v="1036"/>
    <d v="2023-11-15T00:00:00"/>
    <x v="10"/>
    <s v="Bob"/>
    <x v="2"/>
    <n v="7316.91"/>
    <n v="19"/>
    <x v="1"/>
    <n v="2844.97"/>
    <n v="3215"/>
    <s v="Returning"/>
    <x v="26"/>
    <s v="Credit Card"/>
    <x v="1"/>
    <x v="18"/>
    <n v="55587.35"/>
    <x v="865"/>
    <x v="0"/>
    <x v="865"/>
  </r>
  <r>
    <n v="1030"/>
    <d v="2023-11-15T00:00:00"/>
    <x v="10"/>
    <s v="Eve"/>
    <x v="3"/>
    <n v="6951.53"/>
    <n v="24"/>
    <x v="0"/>
    <n v="1370.52"/>
    <n v="1482.58"/>
    <s v="Returning"/>
    <x v="3"/>
    <s v="Credit Card"/>
    <x v="1"/>
    <x v="7"/>
    <n v="28465.536"/>
    <x v="866"/>
    <x v="1"/>
    <x v="866"/>
  </r>
  <r>
    <n v="1092"/>
    <d v="2023-11-15T00:00:00"/>
    <x v="10"/>
    <s v="David"/>
    <x v="3"/>
    <n v="499.47"/>
    <n v="47"/>
    <x v="2"/>
    <n v="3034.32"/>
    <n v="3375.79"/>
    <s v="New"/>
    <x v="27"/>
    <s v="Credit Card"/>
    <x v="0"/>
    <x v="12"/>
    <n v="114236.73360000001"/>
    <x v="867"/>
    <x v="1"/>
    <x v="867"/>
  </r>
  <r>
    <n v="1051"/>
    <d v="2023-11-15T00:00:00"/>
    <x v="10"/>
    <s v="Alice"/>
    <x v="0"/>
    <n v="4703.59"/>
    <n v="23"/>
    <x v="2"/>
    <n v="1676.42"/>
    <n v="2082.52"/>
    <s v="New"/>
    <x v="20"/>
    <s v="Bank Transfer"/>
    <x v="1"/>
    <x v="13"/>
    <n v="40713.265999999996"/>
    <x v="868"/>
    <x v="0"/>
    <x v="868"/>
  </r>
  <r>
    <n v="1088"/>
    <d v="2023-11-16T00:00:00"/>
    <x v="10"/>
    <s v="Eve"/>
    <x v="0"/>
    <n v="8518.4500000000007"/>
    <n v="13"/>
    <x v="1"/>
    <n v="2440.11"/>
    <n v="2517.6"/>
    <s v="New"/>
    <x v="24"/>
    <s v="Bank Transfer"/>
    <x v="1"/>
    <x v="0"/>
    <n v="25201.175999999999"/>
    <x v="869"/>
    <x v="1"/>
    <x v="869"/>
  </r>
  <r>
    <n v="1078"/>
    <d v="2023-11-16T00:00:00"/>
    <x v="10"/>
    <s v="David"/>
    <x v="3"/>
    <n v="113.4"/>
    <n v="8"/>
    <x v="1"/>
    <n v="3459.61"/>
    <n v="3657.23"/>
    <s v="Returning"/>
    <x v="11"/>
    <s v="Bank Transfer"/>
    <x v="0"/>
    <x v="12"/>
    <n v="28380.104800000001"/>
    <x v="870"/>
    <x v="0"/>
    <x v="870"/>
  </r>
  <r>
    <n v="1041"/>
    <d v="2023-11-16T00:00:00"/>
    <x v="10"/>
    <s v="David"/>
    <x v="1"/>
    <n v="3942.84"/>
    <n v="40"/>
    <x v="3"/>
    <n v="601.86"/>
    <n v="1067.53"/>
    <s v="New"/>
    <x v="30"/>
    <s v="Cash"/>
    <x v="0"/>
    <x v="3"/>
    <n v="35014.984000000004"/>
    <x v="871"/>
    <x v="0"/>
    <x v="871"/>
  </r>
  <r>
    <n v="1015"/>
    <d v="2023-11-16T00:00:00"/>
    <x v="10"/>
    <s v="Eve"/>
    <x v="3"/>
    <n v="2673.06"/>
    <n v="1"/>
    <x v="1"/>
    <n v="2928.74"/>
    <n v="3027.74"/>
    <s v="New"/>
    <x v="20"/>
    <s v="Bank Transfer"/>
    <x v="1"/>
    <x v="7"/>
    <n v="2573.5789999999997"/>
    <x v="872"/>
    <x v="1"/>
    <x v="872"/>
  </r>
  <r>
    <n v="1073"/>
    <d v="2023-11-16T00:00:00"/>
    <x v="10"/>
    <s v="David"/>
    <x v="1"/>
    <n v="7026.43"/>
    <n v="48"/>
    <x v="0"/>
    <n v="2658.9"/>
    <n v="2838.27"/>
    <s v="New"/>
    <x v="2"/>
    <s v="Credit Card"/>
    <x v="0"/>
    <x v="3"/>
    <n v="102177.72"/>
    <x v="873"/>
    <x v="1"/>
    <x v="873"/>
  </r>
  <r>
    <n v="1051"/>
    <d v="2023-11-16T00:00:00"/>
    <x v="10"/>
    <s v="Bob"/>
    <x v="2"/>
    <n v="803.25"/>
    <n v="31"/>
    <x v="1"/>
    <n v="144.88"/>
    <n v="175.29"/>
    <s v="New"/>
    <x v="9"/>
    <s v="Bank Transfer"/>
    <x v="0"/>
    <x v="18"/>
    <n v="5053.6106999999993"/>
    <x v="874"/>
    <x v="0"/>
    <x v="874"/>
  </r>
  <r>
    <n v="1062"/>
    <d v="2023-11-17T00:00:00"/>
    <x v="10"/>
    <s v="Charlie"/>
    <x v="0"/>
    <n v="4790.72"/>
    <n v="28"/>
    <x v="0"/>
    <n v="2094.88"/>
    <n v="2168.91"/>
    <s v="Returning"/>
    <x v="19"/>
    <s v="Cash"/>
    <x v="1"/>
    <x v="1"/>
    <n v="55871.121599999999"/>
    <x v="875"/>
    <x v="1"/>
    <x v="875"/>
  </r>
  <r>
    <n v="1100"/>
    <d v="2023-11-17T00:00:00"/>
    <x v="10"/>
    <s v="Bob"/>
    <x v="3"/>
    <n v="7883.44"/>
    <n v="13"/>
    <x v="3"/>
    <n v="366.2"/>
    <n v="732.69"/>
    <s v="New"/>
    <x v="17"/>
    <s v="Cash"/>
    <x v="1"/>
    <x v="5"/>
    <n v="9143.9712000000018"/>
    <x v="876"/>
    <x v="0"/>
    <x v="876"/>
  </r>
  <r>
    <n v="1062"/>
    <d v="2023-11-18T00:00:00"/>
    <x v="10"/>
    <s v="Alice"/>
    <x v="3"/>
    <n v="291.33999999999997"/>
    <n v="12"/>
    <x v="1"/>
    <n v="1088.99"/>
    <n v="1545"/>
    <s v="Returning"/>
    <x v="17"/>
    <s v="Bank Transfer"/>
    <x v="1"/>
    <x v="9"/>
    <n v="17798.400000000001"/>
    <x v="877"/>
    <x v="0"/>
    <x v="877"/>
  </r>
  <r>
    <n v="1004"/>
    <d v="2023-11-18T00:00:00"/>
    <x v="10"/>
    <s v="Alice"/>
    <x v="3"/>
    <n v="7211.48"/>
    <n v="1"/>
    <x v="3"/>
    <n v="182.99"/>
    <n v="211.18"/>
    <s v="Returning"/>
    <x v="10"/>
    <s v="Bank Transfer"/>
    <x v="1"/>
    <x v="9"/>
    <n v="154.16140000000001"/>
    <x v="878"/>
    <x v="1"/>
    <x v="878"/>
  </r>
  <r>
    <n v="1033"/>
    <d v="2023-11-19T00:00:00"/>
    <x v="10"/>
    <s v="David"/>
    <x v="0"/>
    <n v="349.41"/>
    <n v="37"/>
    <x v="2"/>
    <n v="2600.7600000000002"/>
    <n v="2937.57"/>
    <s v="New"/>
    <x v="15"/>
    <s v="Credit Card"/>
    <x v="1"/>
    <x v="19"/>
    <n v="90212.774700000009"/>
    <x v="879"/>
    <x v="1"/>
    <x v="879"/>
  </r>
  <r>
    <n v="1040"/>
    <d v="2023-11-19T00:00:00"/>
    <x v="10"/>
    <s v="David"/>
    <x v="0"/>
    <n v="6601.62"/>
    <n v="47"/>
    <x v="2"/>
    <n v="2189.54"/>
    <n v="2617"/>
    <s v="New"/>
    <x v="18"/>
    <s v="Bank Transfer"/>
    <x v="0"/>
    <x v="19"/>
    <n v="121769.01"/>
    <x v="880"/>
    <x v="0"/>
    <x v="880"/>
  </r>
  <r>
    <n v="1045"/>
    <d v="2023-11-19T00:00:00"/>
    <x v="10"/>
    <s v="Bob"/>
    <x v="0"/>
    <n v="1649.12"/>
    <n v="2"/>
    <x v="2"/>
    <n v="912.08"/>
    <n v="993.24"/>
    <s v="Returning"/>
    <x v="26"/>
    <s v="Credit Card"/>
    <x v="0"/>
    <x v="10"/>
    <n v="1807.6968000000002"/>
    <x v="881"/>
    <x v="1"/>
    <x v="881"/>
  </r>
  <r>
    <n v="1090"/>
    <d v="2023-11-20T00:00:00"/>
    <x v="10"/>
    <s v="Alice"/>
    <x v="2"/>
    <n v="267.77999999999997"/>
    <n v="32"/>
    <x v="2"/>
    <n v="2678.99"/>
    <n v="3152.2799999999902"/>
    <s v="Returning"/>
    <x v="23"/>
    <s v="Cash"/>
    <x v="1"/>
    <x v="16"/>
    <n v="78680.908799999757"/>
    <x v="882"/>
    <x v="1"/>
    <x v="882"/>
  </r>
  <r>
    <n v="1028"/>
    <d v="2023-11-20T00:00:00"/>
    <x v="10"/>
    <s v="Alice"/>
    <x v="3"/>
    <n v="388.78"/>
    <n v="5"/>
    <x v="3"/>
    <n v="734.92"/>
    <n v="991.21"/>
    <s v="Returning"/>
    <x v="5"/>
    <s v="Credit Card"/>
    <x v="0"/>
    <x v="9"/>
    <n v="3915.2795000000006"/>
    <x v="883"/>
    <x v="0"/>
    <x v="883"/>
  </r>
  <r>
    <n v="1012"/>
    <d v="2023-11-20T00:00:00"/>
    <x v="10"/>
    <s v="Bob"/>
    <x v="0"/>
    <n v="5858.06"/>
    <n v="1"/>
    <x v="3"/>
    <n v="4190.83"/>
    <n v="4528.7699999999904"/>
    <s v="Returning"/>
    <x v="23"/>
    <s v="Bank Transfer"/>
    <x v="0"/>
    <x v="10"/>
    <n v="3532.4405999999926"/>
    <x v="884"/>
    <x v="1"/>
    <x v="884"/>
  </r>
  <r>
    <n v="1036"/>
    <d v="2023-11-20T00:00:00"/>
    <x v="10"/>
    <s v="Alice"/>
    <x v="3"/>
    <n v="5454.96"/>
    <n v="32"/>
    <x v="0"/>
    <n v="700.49"/>
    <n v="1126.52"/>
    <s v="New"/>
    <x v="14"/>
    <s v="Credit Card"/>
    <x v="1"/>
    <x v="9"/>
    <n v="25594.534399999997"/>
    <x v="885"/>
    <x v="0"/>
    <x v="885"/>
  </r>
  <r>
    <n v="1084"/>
    <d v="2023-11-20T00:00:00"/>
    <x v="10"/>
    <s v="Bob"/>
    <x v="1"/>
    <n v="2396.98"/>
    <n v="15"/>
    <x v="1"/>
    <n v="3420.72"/>
    <n v="3513.74"/>
    <s v="New"/>
    <x v="21"/>
    <s v="Cash"/>
    <x v="0"/>
    <x v="8"/>
    <n v="51651.977999999996"/>
    <x v="886"/>
    <x v="0"/>
    <x v="886"/>
  </r>
  <r>
    <n v="1014"/>
    <d v="2023-11-22T00:00:00"/>
    <x v="10"/>
    <s v="David"/>
    <x v="2"/>
    <n v="9762.5400000000009"/>
    <n v="17"/>
    <x v="3"/>
    <n v="3184.65"/>
    <n v="3204.01"/>
    <s v="New"/>
    <x v="3"/>
    <s v="Bank Transfer"/>
    <x v="0"/>
    <x v="4"/>
    <n v="43574.536000000007"/>
    <x v="887"/>
    <x v="1"/>
    <x v="887"/>
  </r>
  <r>
    <n v="1093"/>
    <d v="2023-11-22T00:00:00"/>
    <x v="10"/>
    <s v="Charlie"/>
    <x v="0"/>
    <n v="862.1"/>
    <n v="22"/>
    <x v="1"/>
    <n v="3285.25"/>
    <n v="3634.58"/>
    <s v="New"/>
    <x v="29"/>
    <s v="Bank Transfer"/>
    <x v="0"/>
    <x v="1"/>
    <n v="69565.861199999999"/>
    <x v="888"/>
    <x v="1"/>
    <x v="888"/>
  </r>
  <r>
    <n v="1058"/>
    <d v="2023-11-22T00:00:00"/>
    <x v="10"/>
    <s v="Alice"/>
    <x v="2"/>
    <n v="8085.98"/>
    <n v="15"/>
    <x v="0"/>
    <n v="894.48"/>
    <n v="1336.37"/>
    <s v="Returning"/>
    <x v="12"/>
    <s v="Cash"/>
    <x v="1"/>
    <x v="16"/>
    <n v="14833.706999999999"/>
    <x v="889"/>
    <x v="0"/>
    <x v="889"/>
  </r>
  <r>
    <n v="1016"/>
    <d v="2023-11-23T00:00:00"/>
    <x v="10"/>
    <s v="Eve"/>
    <x v="3"/>
    <n v="5490.52"/>
    <n v="26"/>
    <x v="0"/>
    <n v="4906.8500000000004"/>
    <n v="4954.3900000000003"/>
    <s v="New"/>
    <x v="2"/>
    <s v="Bank Transfer"/>
    <x v="0"/>
    <x v="7"/>
    <n v="96610.60500000001"/>
    <x v="890"/>
    <x v="1"/>
    <x v="890"/>
  </r>
  <r>
    <n v="1065"/>
    <d v="2023-11-24T00:00:00"/>
    <x v="10"/>
    <s v="Bob"/>
    <x v="3"/>
    <n v="9183.11"/>
    <n v="18"/>
    <x v="3"/>
    <n v="1239.0899999999999"/>
    <n v="1273.98"/>
    <s v="New"/>
    <x v="21"/>
    <s v="Bank Transfer"/>
    <x v="1"/>
    <x v="5"/>
    <n v="22473.0072"/>
    <x v="891"/>
    <x v="0"/>
    <x v="891"/>
  </r>
  <r>
    <n v="1072"/>
    <d v="2023-11-24T00:00:00"/>
    <x v="10"/>
    <s v="Alice"/>
    <x v="3"/>
    <n v="5511.11"/>
    <n v="25"/>
    <x v="0"/>
    <n v="481.19"/>
    <n v="693.4"/>
    <s v="New"/>
    <x v="10"/>
    <s v="Credit Card"/>
    <x v="1"/>
    <x v="9"/>
    <n v="12654.55"/>
    <x v="892"/>
    <x v="0"/>
    <x v="892"/>
  </r>
  <r>
    <n v="1003"/>
    <d v="2023-11-24T00:00:00"/>
    <x v="10"/>
    <s v="Eve"/>
    <x v="3"/>
    <n v="5215.3100000000004"/>
    <n v="11"/>
    <x v="3"/>
    <n v="3706.78"/>
    <n v="3862.26"/>
    <s v="New"/>
    <x v="23"/>
    <s v="Credit Card"/>
    <x v="1"/>
    <x v="7"/>
    <n v="33138.190800000004"/>
    <x v="893"/>
    <x v="1"/>
    <x v="893"/>
  </r>
  <r>
    <n v="1021"/>
    <d v="2023-11-24T00:00:00"/>
    <x v="10"/>
    <s v="Eve"/>
    <x v="0"/>
    <n v="213.04"/>
    <n v="15"/>
    <x v="3"/>
    <n v="3771.27"/>
    <n v="4212.55"/>
    <s v="Returning"/>
    <x v="25"/>
    <s v="Credit Card"/>
    <x v="1"/>
    <x v="0"/>
    <n v="53078.13"/>
    <x v="894"/>
    <x v="1"/>
    <x v="894"/>
  </r>
  <r>
    <n v="1024"/>
    <d v="2023-11-24T00:00:00"/>
    <x v="10"/>
    <s v="Alice"/>
    <x v="1"/>
    <n v="3633.17"/>
    <n v="22"/>
    <x v="3"/>
    <n v="4691.32"/>
    <n v="4752.88"/>
    <s v="Returning"/>
    <x v="9"/>
    <s v="Bank Transfer"/>
    <x v="1"/>
    <x v="15"/>
    <n v="97243.924799999993"/>
    <x v="895"/>
    <x v="1"/>
    <x v="895"/>
  </r>
  <r>
    <n v="1071"/>
    <d v="2023-11-24T00:00:00"/>
    <x v="10"/>
    <s v="Alice"/>
    <x v="2"/>
    <n v="8049.72"/>
    <n v="12"/>
    <x v="3"/>
    <n v="4317.95"/>
    <n v="4636.59"/>
    <s v="New"/>
    <x v="30"/>
    <s v="Credit Card"/>
    <x v="1"/>
    <x v="16"/>
    <n v="45624.045600000005"/>
    <x v="896"/>
    <x v="1"/>
    <x v="896"/>
  </r>
  <r>
    <n v="1022"/>
    <d v="2023-11-24T00:00:00"/>
    <x v="10"/>
    <s v="Eve"/>
    <x v="2"/>
    <n v="8906.24"/>
    <n v="29"/>
    <x v="1"/>
    <n v="479.58"/>
    <n v="909.88"/>
    <s v="Returning"/>
    <x v="29"/>
    <s v="Credit Card"/>
    <x v="1"/>
    <x v="11"/>
    <n v="22956.272399999998"/>
    <x v="897"/>
    <x v="0"/>
    <x v="897"/>
  </r>
  <r>
    <n v="1095"/>
    <d v="2023-11-25T00:00:00"/>
    <x v="10"/>
    <s v="Alice"/>
    <x v="3"/>
    <n v="9432.9699999999993"/>
    <n v="37"/>
    <x v="2"/>
    <n v="407.77"/>
    <n v="860.95"/>
    <s v="New"/>
    <x v="8"/>
    <s v="Credit Card"/>
    <x v="1"/>
    <x v="9"/>
    <n v="28669.635000000002"/>
    <x v="898"/>
    <x v="0"/>
    <x v="898"/>
  </r>
  <r>
    <n v="1074"/>
    <d v="2023-11-25T00:00:00"/>
    <x v="10"/>
    <s v="Eve"/>
    <x v="0"/>
    <n v="3570.15"/>
    <n v="42"/>
    <x v="1"/>
    <n v="2120.81"/>
    <n v="2611.94"/>
    <s v="Returning"/>
    <x v="24"/>
    <s v="Cash"/>
    <x v="0"/>
    <x v="0"/>
    <n v="84470.139599999995"/>
    <x v="899"/>
    <x v="1"/>
    <x v="899"/>
  </r>
  <r>
    <n v="1043"/>
    <d v="2023-11-26T00:00:00"/>
    <x v="10"/>
    <s v="Bob"/>
    <x v="1"/>
    <n v="1710.73"/>
    <n v="3"/>
    <x v="2"/>
    <n v="2009.1"/>
    <n v="2186.42"/>
    <s v="New"/>
    <x v="2"/>
    <s v="Bank Transfer"/>
    <x v="0"/>
    <x v="8"/>
    <n v="4919.4449999999997"/>
    <x v="900"/>
    <x v="1"/>
    <x v="900"/>
  </r>
  <r>
    <n v="1070"/>
    <d v="2023-11-26T00:00:00"/>
    <x v="10"/>
    <s v="David"/>
    <x v="0"/>
    <n v="5813.51"/>
    <n v="40"/>
    <x v="1"/>
    <n v="3089.96"/>
    <n v="3258.45"/>
    <s v="New"/>
    <x v="14"/>
    <s v="Cash"/>
    <x v="0"/>
    <x v="19"/>
    <n v="92539.98"/>
    <x v="901"/>
    <x v="1"/>
    <x v="901"/>
  </r>
  <r>
    <n v="1030"/>
    <d v="2023-11-26T00:00:00"/>
    <x v="10"/>
    <s v="Alice"/>
    <x v="2"/>
    <n v="8727"/>
    <n v="39"/>
    <x v="2"/>
    <n v="2041.75"/>
    <n v="2299.37"/>
    <s v="Returning"/>
    <x v="6"/>
    <s v="Bank Transfer"/>
    <x v="1"/>
    <x v="16"/>
    <n v="68153.326799999995"/>
    <x v="902"/>
    <x v="1"/>
    <x v="902"/>
  </r>
  <r>
    <n v="1051"/>
    <d v="2023-11-26T00:00:00"/>
    <x v="10"/>
    <s v="Eve"/>
    <x v="1"/>
    <n v="6339.45"/>
    <n v="8"/>
    <x v="3"/>
    <n v="3970.37"/>
    <n v="4257.5199999999904"/>
    <s v="New"/>
    <x v="16"/>
    <s v="Cash"/>
    <x v="1"/>
    <x v="2"/>
    <n v="30313.542399999933"/>
    <x v="903"/>
    <x v="1"/>
    <x v="903"/>
  </r>
  <r>
    <n v="1095"/>
    <d v="2023-11-26T00:00:00"/>
    <x v="10"/>
    <s v="Charlie"/>
    <x v="2"/>
    <n v="8231.74"/>
    <n v="7"/>
    <x v="3"/>
    <n v="4257.24"/>
    <n v="4355.87"/>
    <s v="Returning"/>
    <x v="11"/>
    <s v="Bank Transfer"/>
    <x v="0"/>
    <x v="14"/>
    <n v="29576.357300000003"/>
    <x v="904"/>
    <x v="1"/>
    <x v="904"/>
  </r>
  <r>
    <n v="1021"/>
    <d v="2023-11-27T00:00:00"/>
    <x v="10"/>
    <s v="Alice"/>
    <x v="1"/>
    <n v="6483.84"/>
    <n v="31"/>
    <x v="1"/>
    <n v="2254.9899999999998"/>
    <n v="2441.79"/>
    <s v="Returning"/>
    <x v="6"/>
    <s v="Bank Transfer"/>
    <x v="0"/>
    <x v="15"/>
    <n v="57528.572399999997"/>
    <x v="905"/>
    <x v="1"/>
    <x v="905"/>
  </r>
  <r>
    <n v="1044"/>
    <d v="2023-11-28T00:00:00"/>
    <x v="10"/>
    <s v="Charlie"/>
    <x v="2"/>
    <n v="4860.8100000000004"/>
    <n v="6"/>
    <x v="2"/>
    <n v="3703.93"/>
    <n v="3840.24"/>
    <s v="New"/>
    <x v="9"/>
    <s v="Credit Card"/>
    <x v="0"/>
    <x v="14"/>
    <n v="21428.539199999999"/>
    <x v="906"/>
    <x v="1"/>
    <x v="906"/>
  </r>
  <r>
    <n v="1005"/>
    <d v="2023-11-28T00:00:00"/>
    <x v="10"/>
    <s v="David"/>
    <x v="2"/>
    <n v="152.6"/>
    <n v="43"/>
    <x v="1"/>
    <n v="1200.4000000000001"/>
    <n v="1430.45"/>
    <s v="New"/>
    <x v="19"/>
    <s v="Bank Transfer"/>
    <x v="1"/>
    <x v="4"/>
    <n v="56588.602000000006"/>
    <x v="907"/>
    <x v="0"/>
    <x v="907"/>
  </r>
  <r>
    <n v="1089"/>
    <d v="2023-11-28T00:00:00"/>
    <x v="10"/>
    <s v="David"/>
    <x v="2"/>
    <n v="8719.6200000000008"/>
    <n v="8"/>
    <x v="1"/>
    <n v="4349.34"/>
    <n v="4629.9799999999996"/>
    <s v="Returning"/>
    <x v="18"/>
    <s v="Credit Card"/>
    <x v="0"/>
    <x v="4"/>
    <n v="36669.441599999998"/>
    <x v="908"/>
    <x v="0"/>
    <x v="908"/>
  </r>
  <r>
    <n v="1002"/>
    <d v="2023-11-29T00:00:00"/>
    <x v="10"/>
    <s v="David"/>
    <x v="0"/>
    <n v="333.59"/>
    <n v="24"/>
    <x v="1"/>
    <n v="3305.94"/>
    <n v="3599.27"/>
    <s v="New"/>
    <x v="26"/>
    <s v="Credit Card"/>
    <x v="1"/>
    <x v="19"/>
    <n v="78608.056800000006"/>
    <x v="909"/>
    <x v="1"/>
    <x v="909"/>
  </r>
  <r>
    <n v="1086"/>
    <d v="2023-11-29T00:00:00"/>
    <x v="10"/>
    <s v="Bob"/>
    <x v="2"/>
    <n v="5127.2700000000004"/>
    <n v="7"/>
    <x v="3"/>
    <n v="737.9"/>
    <n v="1182"/>
    <s v="New"/>
    <x v="24"/>
    <s v="Credit Card"/>
    <x v="1"/>
    <x v="18"/>
    <n v="6370.98"/>
    <x v="910"/>
    <x v="0"/>
    <x v="910"/>
  </r>
  <r>
    <n v="1082"/>
    <d v="2023-11-30T00:00:00"/>
    <x v="10"/>
    <s v="Alice"/>
    <x v="1"/>
    <n v="6261.9"/>
    <n v="41"/>
    <x v="2"/>
    <n v="1196.42"/>
    <n v="1444.97"/>
    <s v="Returning"/>
    <x v="5"/>
    <s v="Bank Transfer"/>
    <x v="0"/>
    <x v="15"/>
    <n v="46802.578300000001"/>
    <x v="911"/>
    <x v="1"/>
    <x v="911"/>
  </r>
  <r>
    <n v="1055"/>
    <d v="2023-12-01T00:00:00"/>
    <x v="11"/>
    <s v="Charlie"/>
    <x v="2"/>
    <n v="4102.47"/>
    <n v="8"/>
    <x v="1"/>
    <n v="3513"/>
    <n v="3838.42"/>
    <s v="Returning"/>
    <x v="29"/>
    <s v="Bank Transfer"/>
    <x v="0"/>
    <x v="14"/>
    <n v="26715.403200000001"/>
    <x v="912"/>
    <x v="1"/>
    <x v="912"/>
  </r>
  <r>
    <n v="1073"/>
    <d v="2023-12-01T00:00:00"/>
    <x v="11"/>
    <s v="David"/>
    <x v="2"/>
    <n v="5238.42"/>
    <n v="40"/>
    <x v="1"/>
    <n v="2565.3000000000002"/>
    <n v="3007.47"/>
    <s v="Returning"/>
    <x v="15"/>
    <s v="Credit Card"/>
    <x v="1"/>
    <x v="4"/>
    <n v="99848.003999999986"/>
    <x v="913"/>
    <x v="1"/>
    <x v="913"/>
  </r>
  <r>
    <n v="1096"/>
    <d v="2023-12-01T00:00:00"/>
    <x v="11"/>
    <s v="Bob"/>
    <x v="3"/>
    <n v="2962.96"/>
    <n v="20"/>
    <x v="1"/>
    <n v="1994.9"/>
    <n v="2066.5"/>
    <s v="Returning"/>
    <x v="22"/>
    <s v="Bank Transfer"/>
    <x v="0"/>
    <x v="5"/>
    <n v="38850.199999999997"/>
    <x v="914"/>
    <x v="1"/>
    <x v="914"/>
  </r>
  <r>
    <n v="1100"/>
    <d v="2023-12-01T00:00:00"/>
    <x v="11"/>
    <s v="Alice"/>
    <x v="3"/>
    <n v="1387.8"/>
    <n v="34"/>
    <x v="1"/>
    <n v="4991.09"/>
    <n v="5402.28"/>
    <s v="Returning"/>
    <x v="4"/>
    <s v="Cash"/>
    <x v="1"/>
    <x v="9"/>
    <n v="183677.52"/>
    <x v="915"/>
    <x v="0"/>
    <x v="915"/>
  </r>
  <r>
    <n v="1077"/>
    <d v="2023-12-02T00:00:00"/>
    <x v="11"/>
    <s v="David"/>
    <x v="3"/>
    <n v="1960.41"/>
    <n v="24"/>
    <x v="2"/>
    <n v="2258.54"/>
    <n v="2439.4899999999998"/>
    <s v="Returning"/>
    <x v="3"/>
    <s v="Credit Card"/>
    <x v="1"/>
    <x v="12"/>
    <n v="46838.207999999999"/>
    <x v="916"/>
    <x v="1"/>
    <x v="916"/>
  </r>
  <r>
    <n v="1011"/>
    <d v="2023-12-03T00:00:00"/>
    <x v="11"/>
    <s v="Bob"/>
    <x v="3"/>
    <n v="8186.12"/>
    <n v="13"/>
    <x v="2"/>
    <n v="1442.69"/>
    <n v="1882.57"/>
    <s v="Returning"/>
    <x v="27"/>
    <s v="Cash"/>
    <x v="0"/>
    <x v="5"/>
    <n v="17620.855199999998"/>
    <x v="917"/>
    <x v="1"/>
    <x v="917"/>
  </r>
  <r>
    <n v="1092"/>
    <d v="2023-12-03T00:00:00"/>
    <x v="11"/>
    <s v="David"/>
    <x v="3"/>
    <n v="719.01"/>
    <n v="6"/>
    <x v="0"/>
    <n v="422.74"/>
    <n v="737.49"/>
    <s v="Returning"/>
    <x v="28"/>
    <s v="Credit Card"/>
    <x v="1"/>
    <x v="12"/>
    <n v="3584.2014000000008"/>
    <x v="918"/>
    <x v="0"/>
    <x v="918"/>
  </r>
  <r>
    <n v="1069"/>
    <d v="2023-12-03T00:00:00"/>
    <x v="11"/>
    <s v="David"/>
    <x v="0"/>
    <n v="6521.53"/>
    <n v="35"/>
    <x v="2"/>
    <n v="2885.16"/>
    <n v="3224.8399999999901"/>
    <s v="New"/>
    <x v="1"/>
    <s v="Cash"/>
    <x v="0"/>
    <x v="19"/>
    <n v="97067.683999999703"/>
    <x v="919"/>
    <x v="1"/>
    <x v="919"/>
  </r>
  <r>
    <n v="1014"/>
    <d v="2023-12-04T00:00:00"/>
    <x v="11"/>
    <s v="Bob"/>
    <x v="2"/>
    <n v="758.99"/>
    <n v="49"/>
    <x v="1"/>
    <n v="493.35"/>
    <n v="799.27"/>
    <s v="New"/>
    <x v="8"/>
    <s v="Bank Transfer"/>
    <x v="0"/>
    <x v="18"/>
    <n v="35247.807000000001"/>
    <x v="920"/>
    <x v="0"/>
    <x v="920"/>
  </r>
  <r>
    <n v="1063"/>
    <d v="2023-12-04T00:00:00"/>
    <x v="11"/>
    <s v="David"/>
    <x v="1"/>
    <n v="2186.85"/>
    <n v="14"/>
    <x v="0"/>
    <n v="2188.35"/>
    <n v="2605.3599999999901"/>
    <s v="Returning"/>
    <x v="3"/>
    <s v="Credit Card"/>
    <x v="1"/>
    <x v="3"/>
    <n v="29180.03199999989"/>
    <x v="921"/>
    <x v="1"/>
    <x v="921"/>
  </r>
  <r>
    <n v="1008"/>
    <d v="2023-12-05T00:00:00"/>
    <x v="11"/>
    <s v="Charlie"/>
    <x v="3"/>
    <n v="9583.5499999999993"/>
    <n v="27"/>
    <x v="2"/>
    <n v="68.989999999999995"/>
    <n v="429.29"/>
    <s v="Returning"/>
    <x v="30"/>
    <s v="Credit Card"/>
    <x v="1"/>
    <x v="6"/>
    <n v="9504.4806000000008"/>
    <x v="922"/>
    <x v="0"/>
    <x v="922"/>
  </r>
  <r>
    <n v="1094"/>
    <d v="2023-12-05T00:00:00"/>
    <x v="11"/>
    <s v="Eve"/>
    <x v="3"/>
    <n v="8264.9599999999991"/>
    <n v="12"/>
    <x v="1"/>
    <n v="333.32"/>
    <n v="700.25"/>
    <s v="Returning"/>
    <x v="1"/>
    <s v="Cash"/>
    <x v="0"/>
    <x v="7"/>
    <n v="7226.58"/>
    <x v="923"/>
    <x v="0"/>
    <x v="923"/>
  </r>
  <r>
    <n v="1073"/>
    <d v="2023-12-06T00:00:00"/>
    <x v="11"/>
    <s v="Alice"/>
    <x v="0"/>
    <n v="2273.58"/>
    <n v="31"/>
    <x v="3"/>
    <n v="4368.97"/>
    <n v="4696.8500000000004"/>
    <s v="Returning"/>
    <x v="2"/>
    <s v="Bank Transfer"/>
    <x v="1"/>
    <x v="13"/>
    <n v="109201.76250000001"/>
    <x v="924"/>
    <x v="1"/>
    <x v="924"/>
  </r>
  <r>
    <n v="1085"/>
    <d v="2023-12-06T00:00:00"/>
    <x v="11"/>
    <s v="Eve"/>
    <x v="0"/>
    <n v="397.26"/>
    <n v="42"/>
    <x v="2"/>
    <n v="3117.75"/>
    <n v="3159.88"/>
    <s v="New"/>
    <x v="17"/>
    <s v="Cash"/>
    <x v="1"/>
    <x v="0"/>
    <n v="127406.3616"/>
    <x v="925"/>
    <x v="1"/>
    <x v="925"/>
  </r>
  <r>
    <n v="1099"/>
    <d v="2023-12-07T00:00:00"/>
    <x v="11"/>
    <s v="Bob"/>
    <x v="3"/>
    <n v="3043.18"/>
    <n v="22"/>
    <x v="1"/>
    <n v="2471.67"/>
    <n v="2533.04"/>
    <s v="Returning"/>
    <x v="21"/>
    <s v="Bank Transfer"/>
    <x v="1"/>
    <x v="5"/>
    <n v="54612.342399999994"/>
    <x v="926"/>
    <x v="0"/>
    <x v="926"/>
  </r>
  <r>
    <n v="1031"/>
    <d v="2023-12-08T00:00:00"/>
    <x v="11"/>
    <s v="David"/>
    <x v="0"/>
    <n v="7567.06"/>
    <n v="22"/>
    <x v="3"/>
    <n v="4236.05"/>
    <n v="4382.32"/>
    <s v="New"/>
    <x v="3"/>
    <s v="Bank Transfer"/>
    <x v="0"/>
    <x v="19"/>
    <n v="77128.831999999995"/>
    <x v="927"/>
    <x v="1"/>
    <x v="927"/>
  </r>
  <r>
    <n v="1095"/>
    <d v="2023-12-08T00:00:00"/>
    <x v="11"/>
    <s v="Eve"/>
    <x v="3"/>
    <n v="3801.82"/>
    <n v="4"/>
    <x v="0"/>
    <n v="3191.05"/>
    <n v="3555.35"/>
    <s v="New"/>
    <x v="27"/>
    <s v="Credit Card"/>
    <x v="0"/>
    <x v="7"/>
    <n v="10239.407999999999"/>
    <x v="928"/>
    <x v="1"/>
    <x v="928"/>
  </r>
  <r>
    <n v="1008"/>
    <d v="2023-12-08T00:00:00"/>
    <x v="11"/>
    <s v="Alice"/>
    <x v="1"/>
    <n v="3197.78"/>
    <n v="49"/>
    <x v="2"/>
    <n v="2907.22"/>
    <n v="3385.6099999999901"/>
    <s v="New"/>
    <x v="29"/>
    <s v="Cash"/>
    <x v="0"/>
    <x v="15"/>
    <n v="144328.55429999958"/>
    <x v="929"/>
    <x v="0"/>
    <x v="929"/>
  </r>
  <r>
    <n v="1020"/>
    <d v="2023-12-10T00:00:00"/>
    <x v="11"/>
    <s v="Bob"/>
    <x v="0"/>
    <n v="9671.77"/>
    <n v="45"/>
    <x v="2"/>
    <n v="4268.45"/>
    <n v="4551.5999999999904"/>
    <s v="New"/>
    <x v="19"/>
    <s v="Bank Transfer"/>
    <x v="0"/>
    <x v="10"/>
    <n v="188436.23999999961"/>
    <x v="930"/>
    <x v="1"/>
    <x v="930"/>
  </r>
  <r>
    <n v="1037"/>
    <d v="2023-12-10T00:00:00"/>
    <x v="11"/>
    <s v="Bob"/>
    <x v="0"/>
    <n v="6351.05"/>
    <n v="32"/>
    <x v="2"/>
    <n v="2594.08"/>
    <n v="3074.59"/>
    <s v="New"/>
    <x v="1"/>
    <s v="Cash"/>
    <x v="1"/>
    <x v="10"/>
    <n v="84612.716800000009"/>
    <x v="931"/>
    <x v="0"/>
    <x v="931"/>
  </r>
  <r>
    <n v="1062"/>
    <d v="2023-12-10T00:00:00"/>
    <x v="11"/>
    <s v="David"/>
    <x v="2"/>
    <n v="3979.41"/>
    <n v="11"/>
    <x v="2"/>
    <n v="1190.08"/>
    <n v="1292.9399999999901"/>
    <s v="Returning"/>
    <x v="29"/>
    <s v="Cash"/>
    <x v="1"/>
    <x v="4"/>
    <n v="12373.435799999905"/>
    <x v="932"/>
    <x v="1"/>
    <x v="932"/>
  </r>
  <r>
    <n v="1036"/>
    <d v="2023-12-10T00:00:00"/>
    <x v="11"/>
    <s v="David"/>
    <x v="0"/>
    <n v="9989.0400000000009"/>
    <n v="7"/>
    <x v="3"/>
    <n v="2882.25"/>
    <n v="3163.7"/>
    <s v="Returning"/>
    <x v="0"/>
    <s v="Cash"/>
    <x v="1"/>
    <x v="19"/>
    <n v="21038.605"/>
    <x v="933"/>
    <x v="0"/>
    <x v="933"/>
  </r>
  <r>
    <n v="1098"/>
    <d v="2023-12-10T00:00:00"/>
    <x v="11"/>
    <s v="Eve"/>
    <x v="3"/>
    <n v="3419.26"/>
    <n v="28"/>
    <x v="2"/>
    <n v="3895.62"/>
    <n v="4055.44"/>
    <s v="New"/>
    <x v="11"/>
    <s v="Bank Transfer"/>
    <x v="1"/>
    <x v="7"/>
    <n v="110145.7504"/>
    <x v="934"/>
    <x v="0"/>
    <x v="934"/>
  </r>
  <r>
    <n v="1045"/>
    <d v="2023-12-11T00:00:00"/>
    <x v="11"/>
    <s v="Alice"/>
    <x v="2"/>
    <n v="6400.11"/>
    <n v="22"/>
    <x v="0"/>
    <n v="241.85"/>
    <n v="613.09"/>
    <s v="Returning"/>
    <x v="22"/>
    <s v="Cash"/>
    <x v="0"/>
    <x v="16"/>
    <n v="12678.701200000001"/>
    <x v="935"/>
    <x v="0"/>
    <x v="935"/>
  </r>
  <r>
    <n v="1051"/>
    <d v="2023-12-12T00:00:00"/>
    <x v="11"/>
    <s v="Eve"/>
    <x v="0"/>
    <n v="2479.9499999999998"/>
    <n v="8"/>
    <x v="0"/>
    <n v="467.11"/>
    <n v="792.21"/>
    <s v="New"/>
    <x v="3"/>
    <s v="Credit Card"/>
    <x v="0"/>
    <x v="0"/>
    <n v="5070.1440000000002"/>
    <x v="936"/>
    <x v="0"/>
    <x v="936"/>
  </r>
  <r>
    <n v="1053"/>
    <d v="2023-12-12T00:00:00"/>
    <x v="11"/>
    <s v="Alice"/>
    <x v="1"/>
    <n v="3382.49"/>
    <n v="47"/>
    <x v="2"/>
    <n v="3551.76"/>
    <n v="3696.1"/>
    <s v="Returning"/>
    <x v="20"/>
    <s v="Bank Transfer"/>
    <x v="1"/>
    <x v="15"/>
    <n v="147659.19500000001"/>
    <x v="937"/>
    <x v="1"/>
    <x v="937"/>
  </r>
  <r>
    <n v="1070"/>
    <d v="2023-12-13T00:00:00"/>
    <x v="11"/>
    <s v="Alice"/>
    <x v="2"/>
    <n v="100.12"/>
    <n v="8"/>
    <x v="0"/>
    <n v="3762.27"/>
    <n v="4166.95"/>
    <s v="Returning"/>
    <x v="25"/>
    <s v="Bank Transfer"/>
    <x v="0"/>
    <x v="16"/>
    <n v="28001.903999999999"/>
    <x v="938"/>
    <x v="1"/>
    <x v="938"/>
  </r>
  <r>
    <n v="1092"/>
    <d v="2023-12-13T00:00:00"/>
    <x v="11"/>
    <s v="Charlie"/>
    <x v="0"/>
    <n v="3206.89"/>
    <n v="15"/>
    <x v="0"/>
    <n v="2273.88"/>
    <n v="2696.02"/>
    <s v="New"/>
    <x v="13"/>
    <s v="Cash"/>
    <x v="0"/>
    <x v="1"/>
    <n v="28308.21"/>
    <x v="939"/>
    <x v="1"/>
    <x v="939"/>
  </r>
  <r>
    <n v="1070"/>
    <d v="2023-12-14T00:00:00"/>
    <x v="11"/>
    <s v="Charlie"/>
    <x v="1"/>
    <n v="2032.15"/>
    <n v="33"/>
    <x v="3"/>
    <n v="866.42"/>
    <n v="878.43"/>
    <s v="New"/>
    <x v="26"/>
    <s v="Cash"/>
    <x v="1"/>
    <x v="17"/>
    <n v="26379.252899999999"/>
    <x v="940"/>
    <x v="1"/>
    <x v="940"/>
  </r>
  <r>
    <n v="1045"/>
    <d v="2023-12-15T00:00:00"/>
    <x v="11"/>
    <s v="David"/>
    <x v="1"/>
    <n v="3517.4"/>
    <n v="42"/>
    <x v="0"/>
    <n v="3587.74"/>
    <n v="3745.91"/>
    <s v="Returning"/>
    <x v="8"/>
    <s v="Cash"/>
    <x v="0"/>
    <x v="3"/>
    <n v="141595.39799999999"/>
    <x v="941"/>
    <x v="1"/>
    <x v="941"/>
  </r>
  <r>
    <n v="1061"/>
    <d v="2023-12-15T00:00:00"/>
    <x v="11"/>
    <s v="Alice"/>
    <x v="0"/>
    <n v="3867.13"/>
    <n v="32"/>
    <x v="3"/>
    <n v="2759.26"/>
    <n v="3193.25"/>
    <s v="New"/>
    <x v="3"/>
    <s v="Bank Transfer"/>
    <x v="0"/>
    <x v="13"/>
    <n v="81747.200000000012"/>
    <x v="942"/>
    <x v="1"/>
    <x v="942"/>
  </r>
  <r>
    <n v="1043"/>
    <d v="2023-12-15T00:00:00"/>
    <x v="11"/>
    <s v="David"/>
    <x v="2"/>
    <n v="4448.18"/>
    <n v="6"/>
    <x v="0"/>
    <n v="563.59"/>
    <n v="838.97"/>
    <s v="New"/>
    <x v="15"/>
    <s v="Credit Card"/>
    <x v="0"/>
    <x v="4"/>
    <n v="4178.0706"/>
    <x v="943"/>
    <x v="0"/>
    <x v="943"/>
  </r>
  <r>
    <n v="1076"/>
    <d v="2023-12-15T00:00:00"/>
    <x v="11"/>
    <s v="Bob"/>
    <x v="2"/>
    <n v="2607.4"/>
    <n v="32"/>
    <x v="3"/>
    <n v="2636.36"/>
    <n v="2696.78"/>
    <s v="New"/>
    <x v="26"/>
    <s v="Cash"/>
    <x v="1"/>
    <x v="18"/>
    <n v="78530.233600000007"/>
    <x v="944"/>
    <x v="1"/>
    <x v="944"/>
  </r>
  <r>
    <n v="1019"/>
    <d v="2023-12-15T00:00:00"/>
    <x v="11"/>
    <s v="David"/>
    <x v="3"/>
    <n v="8902.3700000000008"/>
    <n v="36"/>
    <x v="0"/>
    <n v="1340.51"/>
    <n v="1567.92"/>
    <s v="New"/>
    <x v="14"/>
    <s v="Cash"/>
    <x v="0"/>
    <x v="12"/>
    <n v="40076.035199999998"/>
    <x v="945"/>
    <x v="1"/>
    <x v="945"/>
  </r>
  <r>
    <n v="1012"/>
    <d v="2023-12-15T00:00:00"/>
    <x v="11"/>
    <s v="Bob"/>
    <x v="2"/>
    <n v="8821.6299999999992"/>
    <n v="13"/>
    <x v="2"/>
    <n v="2231.66"/>
    <n v="2596.6099999999901"/>
    <s v="Returning"/>
    <x v="26"/>
    <s v="Bank Transfer"/>
    <x v="1"/>
    <x v="18"/>
    <n v="30717.896299999884"/>
    <x v="946"/>
    <x v="0"/>
    <x v="946"/>
  </r>
  <r>
    <n v="1060"/>
    <d v="2023-12-16T00:00:00"/>
    <x v="11"/>
    <s v="Eve"/>
    <x v="3"/>
    <n v="3224.71"/>
    <n v="44"/>
    <x v="0"/>
    <n v="3784.96"/>
    <n v="4276.99"/>
    <s v="New"/>
    <x v="22"/>
    <s v="Bank Transfer"/>
    <x v="1"/>
    <x v="7"/>
    <n v="176896.3064"/>
    <x v="947"/>
    <x v="0"/>
    <x v="947"/>
  </r>
  <r>
    <n v="1076"/>
    <d v="2023-12-16T00:00:00"/>
    <x v="11"/>
    <s v="Eve"/>
    <x v="3"/>
    <n v="7160.75"/>
    <n v="30"/>
    <x v="0"/>
    <n v="3519.63"/>
    <n v="3774.65"/>
    <s v="New"/>
    <x v="3"/>
    <s v="Credit Card"/>
    <x v="1"/>
    <x v="7"/>
    <n v="90591.6"/>
    <x v="948"/>
    <x v="1"/>
    <x v="948"/>
  </r>
  <r>
    <n v="1074"/>
    <d v="2023-12-16T00:00:00"/>
    <x v="11"/>
    <s v="Bob"/>
    <x v="0"/>
    <n v="6310.56"/>
    <n v="19"/>
    <x v="1"/>
    <n v="278.67"/>
    <n v="423.13"/>
    <s v="New"/>
    <x v="6"/>
    <s v="Credit Card"/>
    <x v="0"/>
    <x v="10"/>
    <n v="6109.9971999999998"/>
    <x v="949"/>
    <x v="0"/>
    <x v="949"/>
  </r>
  <r>
    <n v="1073"/>
    <d v="2023-12-18T00:00:00"/>
    <x v="11"/>
    <s v="Eve"/>
    <x v="2"/>
    <n v="3196.5"/>
    <n v="40"/>
    <x v="3"/>
    <n v="157.15"/>
    <n v="436.53"/>
    <s v="New"/>
    <x v="17"/>
    <s v="Cash"/>
    <x v="1"/>
    <x v="11"/>
    <n v="16762.751999999997"/>
    <x v="950"/>
    <x v="0"/>
    <x v="950"/>
  </r>
  <r>
    <n v="1014"/>
    <d v="2023-12-18T00:00:00"/>
    <x v="11"/>
    <s v="David"/>
    <x v="3"/>
    <n v="5612.17"/>
    <n v="4"/>
    <x v="1"/>
    <n v="854.68"/>
    <n v="1115.24"/>
    <s v="New"/>
    <x v="6"/>
    <s v="Credit Card"/>
    <x v="1"/>
    <x v="12"/>
    <n v="3390.3296"/>
    <x v="951"/>
    <x v="1"/>
    <x v="951"/>
  </r>
  <r>
    <n v="1088"/>
    <d v="2023-12-19T00:00:00"/>
    <x v="11"/>
    <s v="Alice"/>
    <x v="3"/>
    <n v="8452.1299999999992"/>
    <n v="20"/>
    <x v="0"/>
    <n v="4590.24"/>
    <n v="5088.28"/>
    <s v="New"/>
    <x v="25"/>
    <s v="Bank Transfer"/>
    <x v="1"/>
    <x v="9"/>
    <n v="85483.103999999992"/>
    <x v="952"/>
    <x v="1"/>
    <x v="952"/>
  </r>
  <r>
    <n v="1029"/>
    <d v="2023-12-19T00:00:00"/>
    <x v="11"/>
    <s v="Eve"/>
    <x v="0"/>
    <n v="5694.34"/>
    <n v="21"/>
    <x v="3"/>
    <n v="3085.1"/>
    <n v="3200.75"/>
    <s v="New"/>
    <x v="5"/>
    <s v="Cash"/>
    <x v="1"/>
    <x v="0"/>
    <n v="53100.442500000005"/>
    <x v="953"/>
    <x v="1"/>
    <x v="953"/>
  </r>
  <r>
    <n v="1063"/>
    <d v="2023-12-19T00:00:00"/>
    <x v="11"/>
    <s v="Charlie"/>
    <x v="2"/>
    <n v="3889.71"/>
    <n v="46"/>
    <x v="1"/>
    <n v="2302.62"/>
    <n v="2740.93"/>
    <s v="Returning"/>
    <x v="2"/>
    <s v="Bank Transfer"/>
    <x v="0"/>
    <x v="14"/>
    <n v="94562.084999999992"/>
    <x v="954"/>
    <x v="1"/>
    <x v="954"/>
  </r>
  <r>
    <n v="1043"/>
    <d v="2023-12-19T00:00:00"/>
    <x v="11"/>
    <s v="Eve"/>
    <x v="1"/>
    <n v="1633.76"/>
    <n v="12"/>
    <x v="2"/>
    <n v="4920.46"/>
    <n v="5079.68"/>
    <s v="New"/>
    <x v="5"/>
    <s v="Credit Card"/>
    <x v="1"/>
    <x v="2"/>
    <n v="48155.366400000006"/>
    <x v="955"/>
    <x v="1"/>
    <x v="955"/>
  </r>
  <r>
    <n v="1064"/>
    <d v="2023-12-19T00:00:00"/>
    <x v="11"/>
    <s v="Alice"/>
    <x v="2"/>
    <n v="106.47"/>
    <n v="35"/>
    <x v="0"/>
    <n v="4900.03"/>
    <n v="5118.83"/>
    <s v="Returning"/>
    <x v="9"/>
    <s v="Credit Card"/>
    <x v="1"/>
    <x v="16"/>
    <n v="166617.91649999999"/>
    <x v="956"/>
    <x v="1"/>
    <x v="956"/>
  </r>
  <r>
    <n v="1069"/>
    <d v="2023-12-20T00:00:00"/>
    <x v="11"/>
    <s v="Eve"/>
    <x v="0"/>
    <n v="5429.49"/>
    <n v="12"/>
    <x v="1"/>
    <n v="4682.34"/>
    <n v="5036.3999999999996"/>
    <s v="New"/>
    <x v="3"/>
    <s v="Bank Transfer"/>
    <x v="1"/>
    <x v="0"/>
    <n v="48349.440000000002"/>
    <x v="957"/>
    <x v="1"/>
    <x v="957"/>
  </r>
  <r>
    <n v="1058"/>
    <d v="2023-12-20T00:00:00"/>
    <x v="11"/>
    <s v="David"/>
    <x v="0"/>
    <n v="2782.33"/>
    <n v="2"/>
    <x v="0"/>
    <n v="2250.91"/>
    <n v="2558.6799999999998"/>
    <s v="New"/>
    <x v="26"/>
    <s v="Credit Card"/>
    <x v="1"/>
    <x v="19"/>
    <n v="4656.7975999999999"/>
    <x v="958"/>
    <x v="0"/>
    <x v="958"/>
  </r>
  <r>
    <n v="1008"/>
    <d v="2023-12-20T00:00:00"/>
    <x v="11"/>
    <s v="Charlie"/>
    <x v="2"/>
    <n v="765.83"/>
    <n v="23"/>
    <x v="0"/>
    <n v="2296.9299999999998"/>
    <n v="2319.62"/>
    <s v="Returning"/>
    <x v="24"/>
    <s v="Bank Transfer"/>
    <x v="1"/>
    <x v="14"/>
    <n v="41080.470199999996"/>
    <x v="959"/>
    <x v="1"/>
    <x v="959"/>
  </r>
  <r>
    <n v="1100"/>
    <d v="2023-12-20T00:00:00"/>
    <x v="11"/>
    <s v="David"/>
    <x v="2"/>
    <n v="1629.47"/>
    <n v="39"/>
    <x v="2"/>
    <n v="3685.03"/>
    <n v="3743.39"/>
    <s v="New"/>
    <x v="18"/>
    <s v="Bank Transfer"/>
    <x v="0"/>
    <x v="4"/>
    <n v="144532.2879"/>
    <x v="960"/>
    <x v="0"/>
    <x v="960"/>
  </r>
  <r>
    <n v="1053"/>
    <d v="2023-12-21T00:00:00"/>
    <x v="11"/>
    <s v="Bob"/>
    <x v="0"/>
    <n v="660.2"/>
    <n v="44"/>
    <x v="1"/>
    <n v="2045"/>
    <n v="2217.5100000000002"/>
    <s v="Returning"/>
    <x v="19"/>
    <s v="Credit Card"/>
    <x v="0"/>
    <x v="10"/>
    <n v="89764.804800000013"/>
    <x v="961"/>
    <x v="1"/>
    <x v="961"/>
  </r>
  <r>
    <n v="1004"/>
    <d v="2023-12-22T00:00:00"/>
    <x v="11"/>
    <s v="Eve"/>
    <x v="0"/>
    <n v="8485.9"/>
    <n v="11"/>
    <x v="0"/>
    <n v="4840.33"/>
    <n v="4884.29"/>
    <s v="New"/>
    <x v="29"/>
    <s v="Cash"/>
    <x v="0"/>
    <x v="0"/>
    <n v="46742.655299999999"/>
    <x v="962"/>
    <x v="1"/>
    <x v="962"/>
  </r>
  <r>
    <n v="1052"/>
    <d v="2023-12-22T00:00:00"/>
    <x v="11"/>
    <s v="Charlie"/>
    <x v="2"/>
    <n v="9509.5499999999993"/>
    <n v="2"/>
    <x v="1"/>
    <n v="3752.68"/>
    <n v="4017.91"/>
    <s v="Returning"/>
    <x v="25"/>
    <s v="Bank Transfer"/>
    <x v="0"/>
    <x v="14"/>
    <n v="6750.0887999999995"/>
    <x v="963"/>
    <x v="1"/>
    <x v="963"/>
  </r>
  <r>
    <n v="1025"/>
    <d v="2023-12-22T00:00:00"/>
    <x v="11"/>
    <s v="Bob"/>
    <x v="1"/>
    <n v="6030.54"/>
    <n v="11"/>
    <x v="3"/>
    <n v="1250.5899999999999"/>
    <n v="1515.48999999999"/>
    <s v="Returning"/>
    <x v="5"/>
    <s v="Bank Transfer"/>
    <x v="1"/>
    <x v="8"/>
    <n v="13169.608099999914"/>
    <x v="964"/>
    <x v="1"/>
    <x v="964"/>
  </r>
  <r>
    <n v="1061"/>
    <d v="2023-12-22T00:00:00"/>
    <x v="11"/>
    <s v="Alice"/>
    <x v="0"/>
    <n v="1990.17"/>
    <n v="45"/>
    <x v="0"/>
    <n v="1364.51"/>
    <n v="1844.8"/>
    <s v="Returning"/>
    <x v="30"/>
    <s v="Cash"/>
    <x v="0"/>
    <x v="13"/>
    <n v="68073.12000000001"/>
    <x v="965"/>
    <x v="0"/>
    <x v="965"/>
  </r>
  <r>
    <n v="1001"/>
    <d v="2023-12-22T00:00:00"/>
    <x v="11"/>
    <s v="David"/>
    <x v="2"/>
    <n v="8803.94"/>
    <n v="45"/>
    <x v="0"/>
    <n v="1372.36"/>
    <n v="1687.83"/>
    <s v="New"/>
    <x v="21"/>
    <s v="Credit Card"/>
    <x v="0"/>
    <x v="4"/>
    <n v="74433.303"/>
    <x v="966"/>
    <x v="0"/>
    <x v="966"/>
  </r>
  <r>
    <n v="1052"/>
    <d v="2023-12-22T00:00:00"/>
    <x v="11"/>
    <s v="Charlie"/>
    <x v="2"/>
    <n v="2858.57"/>
    <n v="18"/>
    <x v="3"/>
    <n v="1127.8599999999999"/>
    <n v="1586.29"/>
    <s v="New"/>
    <x v="17"/>
    <s v="Credit Card"/>
    <x v="0"/>
    <x v="14"/>
    <n v="27411.091199999999"/>
    <x v="967"/>
    <x v="0"/>
    <x v="967"/>
  </r>
  <r>
    <n v="1017"/>
    <d v="2023-12-23T00:00:00"/>
    <x v="11"/>
    <s v="Alice"/>
    <x v="3"/>
    <n v="780.27"/>
    <n v="33"/>
    <x v="3"/>
    <n v="1551.25"/>
    <n v="1994.01"/>
    <s v="Returning"/>
    <x v="19"/>
    <s v="Cash"/>
    <x v="0"/>
    <x v="9"/>
    <n v="60538.143599999996"/>
    <x v="968"/>
    <x v="0"/>
    <x v="968"/>
  </r>
  <r>
    <n v="1023"/>
    <d v="2023-12-23T00:00:00"/>
    <x v="11"/>
    <s v="Bob"/>
    <x v="3"/>
    <n v="1875.62"/>
    <n v="47"/>
    <x v="2"/>
    <n v="3374.72"/>
    <n v="3483.1499999999901"/>
    <s v="Returning"/>
    <x v="30"/>
    <s v="Cash"/>
    <x v="0"/>
    <x v="5"/>
    <n v="134240.60099999965"/>
    <x v="969"/>
    <x v="1"/>
    <x v="969"/>
  </r>
  <r>
    <n v="1089"/>
    <d v="2023-12-25T00:00:00"/>
    <x v="11"/>
    <s v="Eve"/>
    <x v="1"/>
    <n v="2032.88"/>
    <n v="32"/>
    <x v="0"/>
    <n v="4248.5"/>
    <n v="4706.7"/>
    <s v="New"/>
    <x v="18"/>
    <s v="Bank Transfer"/>
    <x v="1"/>
    <x v="2"/>
    <n v="149108.25599999999"/>
    <x v="970"/>
    <x v="0"/>
    <x v="970"/>
  </r>
  <r>
    <n v="1047"/>
    <d v="2023-12-25T00:00:00"/>
    <x v="11"/>
    <s v="David"/>
    <x v="0"/>
    <n v="7405.06"/>
    <n v="43"/>
    <x v="2"/>
    <n v="1249.17"/>
    <n v="1727.15"/>
    <s v="New"/>
    <x v="19"/>
    <s v="Cash"/>
    <x v="1"/>
    <x v="19"/>
    <n v="68326.054000000004"/>
    <x v="971"/>
    <x v="0"/>
    <x v="971"/>
  </r>
  <r>
    <n v="1010"/>
    <d v="2023-12-25T00:00:00"/>
    <x v="11"/>
    <s v="David"/>
    <x v="1"/>
    <n v="2418.61"/>
    <n v="30"/>
    <x v="3"/>
    <n v="3289.01"/>
    <n v="3508.14"/>
    <s v="New"/>
    <x v="15"/>
    <s v="Bank Transfer"/>
    <x v="1"/>
    <x v="3"/>
    <n v="87352.685999999987"/>
    <x v="972"/>
    <x v="1"/>
    <x v="972"/>
  </r>
  <r>
    <n v="1056"/>
    <d v="2023-12-25T00:00:00"/>
    <x v="11"/>
    <s v="Bob"/>
    <x v="0"/>
    <n v="2809.04"/>
    <n v="25"/>
    <x v="0"/>
    <n v="1154.28"/>
    <n v="1408.4"/>
    <s v="Returning"/>
    <x v="14"/>
    <s v="Bank Transfer"/>
    <x v="1"/>
    <x v="10"/>
    <n v="24999.100000000002"/>
    <x v="973"/>
    <x v="1"/>
    <x v="973"/>
  </r>
  <r>
    <n v="1005"/>
    <d v="2023-12-25T00:00:00"/>
    <x v="11"/>
    <s v="Alice"/>
    <x v="1"/>
    <n v="8635.81"/>
    <n v="28"/>
    <x v="1"/>
    <n v="2146.2399999999998"/>
    <n v="2173.4699999999998"/>
    <s v="Returning"/>
    <x v="8"/>
    <s v="Cash"/>
    <x v="1"/>
    <x v="15"/>
    <n v="54771.443999999996"/>
    <x v="974"/>
    <x v="1"/>
    <x v="974"/>
  </r>
  <r>
    <n v="1072"/>
    <d v="2023-12-26T00:00:00"/>
    <x v="11"/>
    <s v="Charlie"/>
    <x v="0"/>
    <n v="3635.5"/>
    <n v="23"/>
    <x v="1"/>
    <n v="1662.83"/>
    <n v="2074.25"/>
    <s v="New"/>
    <x v="7"/>
    <s v="Bank Transfer"/>
    <x v="0"/>
    <x v="1"/>
    <n v="41982.82"/>
    <x v="975"/>
    <x v="0"/>
    <x v="975"/>
  </r>
  <r>
    <n v="1099"/>
    <d v="2023-12-26T00:00:00"/>
    <x v="11"/>
    <s v="Eve"/>
    <x v="2"/>
    <n v="6644.04"/>
    <n v="25"/>
    <x v="2"/>
    <n v="4148.4799999999996"/>
    <n v="4293.6899999999996"/>
    <s v="New"/>
    <x v="16"/>
    <s v="Bank Transfer"/>
    <x v="0"/>
    <x v="11"/>
    <n v="95534.602499999994"/>
    <x v="976"/>
    <x v="1"/>
    <x v="976"/>
  </r>
  <r>
    <n v="1024"/>
    <d v="2023-12-26T00:00:00"/>
    <x v="11"/>
    <s v="David"/>
    <x v="0"/>
    <n v="2565.19"/>
    <n v="17"/>
    <x v="1"/>
    <n v="4114.66"/>
    <n v="4269.0199999999904"/>
    <s v="Returning"/>
    <x v="10"/>
    <s v="Bank Transfer"/>
    <x v="1"/>
    <x v="19"/>
    <n v="52978.538199999879"/>
    <x v="977"/>
    <x v="1"/>
    <x v="977"/>
  </r>
  <r>
    <n v="1032"/>
    <d v="2023-12-26T00:00:00"/>
    <x v="11"/>
    <s v="David"/>
    <x v="1"/>
    <n v="4244.21"/>
    <n v="11"/>
    <x v="0"/>
    <n v="4100.62"/>
    <n v="4230"/>
    <s v="New"/>
    <x v="14"/>
    <s v="Bank Transfer"/>
    <x v="0"/>
    <x v="3"/>
    <n v="33036.299999999996"/>
    <x v="978"/>
    <x v="1"/>
    <x v="978"/>
  </r>
  <r>
    <n v="1071"/>
    <d v="2023-12-27T00:00:00"/>
    <x v="11"/>
    <s v="David"/>
    <x v="3"/>
    <n v="4752.88"/>
    <n v="40"/>
    <x v="3"/>
    <n v="1447.72"/>
    <n v="1875.75"/>
    <s v="New"/>
    <x v="29"/>
    <s v="Cash"/>
    <x v="1"/>
    <x v="12"/>
    <n v="65276.1"/>
    <x v="979"/>
    <x v="0"/>
    <x v="979"/>
  </r>
  <r>
    <n v="1057"/>
    <d v="2023-12-27T00:00:00"/>
    <x v="11"/>
    <s v="Bob"/>
    <x v="1"/>
    <n v="3772.32"/>
    <n v="31"/>
    <x v="1"/>
    <n v="2403.16"/>
    <n v="2453.35"/>
    <s v="Returning"/>
    <x v="28"/>
    <s v="Credit Card"/>
    <x v="0"/>
    <x v="8"/>
    <n v="61603.618500000004"/>
    <x v="980"/>
    <x v="1"/>
    <x v="980"/>
  </r>
  <r>
    <n v="1056"/>
    <d v="2023-12-27T00:00:00"/>
    <x v="11"/>
    <s v="Bob"/>
    <x v="3"/>
    <n v="7979.67"/>
    <n v="4"/>
    <x v="3"/>
    <n v="1612.82"/>
    <n v="1647.25"/>
    <s v="Returning"/>
    <x v="17"/>
    <s v="Credit Card"/>
    <x v="1"/>
    <x v="5"/>
    <n v="6325.44"/>
    <x v="981"/>
    <x v="1"/>
    <x v="981"/>
  </r>
  <r>
    <n v="1065"/>
    <d v="2023-12-28T00:00:00"/>
    <x v="11"/>
    <s v="David"/>
    <x v="2"/>
    <n v="6139.07"/>
    <n v="18"/>
    <x v="3"/>
    <n v="4334.58"/>
    <n v="4431.04"/>
    <s v="New"/>
    <x v="21"/>
    <s v="Bank Transfer"/>
    <x v="1"/>
    <x v="4"/>
    <n v="78163.545600000012"/>
    <x v="982"/>
    <x v="0"/>
    <x v="982"/>
  </r>
  <r>
    <n v="1086"/>
    <d v="2023-12-28T00:00:00"/>
    <x v="11"/>
    <s v="Bob"/>
    <x v="2"/>
    <n v="1837.37"/>
    <n v="46"/>
    <x v="1"/>
    <n v="83.86"/>
    <n v="526.14"/>
    <s v="Returning"/>
    <x v="16"/>
    <s v="Credit Card"/>
    <x v="0"/>
    <x v="18"/>
    <n v="21540.171599999998"/>
    <x v="983"/>
    <x v="0"/>
    <x v="983"/>
  </r>
  <r>
    <n v="1024"/>
    <d v="2023-12-29T00:00:00"/>
    <x v="11"/>
    <s v="Eve"/>
    <x v="0"/>
    <n v="9190.57"/>
    <n v="5"/>
    <x v="1"/>
    <n v="3417.9"/>
    <n v="3714.52"/>
    <s v="Returning"/>
    <x v="10"/>
    <s v="Credit Card"/>
    <x v="1"/>
    <x v="0"/>
    <n v="13557.998"/>
    <x v="984"/>
    <x v="1"/>
    <x v="984"/>
  </r>
  <r>
    <n v="1022"/>
    <d v="2023-12-29T00:00:00"/>
    <x v="11"/>
    <s v="David"/>
    <x v="0"/>
    <n v="4557.5200000000004"/>
    <n v="10"/>
    <x v="1"/>
    <n v="1830.61"/>
    <n v="2044.04"/>
    <s v="New"/>
    <x v="16"/>
    <s v="Cash"/>
    <x v="0"/>
    <x v="19"/>
    <n v="18191.955999999998"/>
    <x v="985"/>
    <x v="1"/>
    <x v="985"/>
  </r>
  <r>
    <n v="1058"/>
    <d v="2023-12-29T00:00:00"/>
    <x v="11"/>
    <s v="David"/>
    <x v="0"/>
    <n v="2714.21"/>
    <n v="34"/>
    <x v="2"/>
    <n v="3160.61"/>
    <n v="3273.22"/>
    <s v="Returning"/>
    <x v="19"/>
    <s v="Credit Card"/>
    <x v="1"/>
    <x v="19"/>
    <n v="102386.3216"/>
    <x v="986"/>
    <x v="1"/>
    <x v="986"/>
  </r>
  <r>
    <n v="1049"/>
    <d v="2023-12-29T00:00:00"/>
    <x v="11"/>
    <s v="Charlie"/>
    <x v="1"/>
    <n v="4380.2299999999996"/>
    <n v="38"/>
    <x v="3"/>
    <n v="2945.92"/>
    <n v="3381.22"/>
    <s v="Returning"/>
    <x v="24"/>
    <s v="Cash"/>
    <x v="1"/>
    <x v="17"/>
    <n v="98934.497199999998"/>
    <x v="987"/>
    <x v="1"/>
    <x v="987"/>
  </r>
  <r>
    <n v="1003"/>
    <d v="2023-12-30T00:00:00"/>
    <x v="11"/>
    <s v="Alice"/>
    <x v="3"/>
    <n v="640.88"/>
    <n v="17"/>
    <x v="1"/>
    <n v="395.11"/>
    <n v="676.66"/>
    <s v="Returning"/>
    <x v="2"/>
    <s v="Cash"/>
    <x v="1"/>
    <x v="9"/>
    <n v="8627.4150000000009"/>
    <x v="988"/>
    <x v="0"/>
    <x v="988"/>
  </r>
  <r>
    <n v="1099"/>
    <d v="2023-12-30T00:00:00"/>
    <x v="11"/>
    <s v="Bob"/>
    <x v="2"/>
    <n v="9450.0400000000009"/>
    <n v="29"/>
    <x v="2"/>
    <n v="3124.87"/>
    <n v="3383.67"/>
    <s v="New"/>
    <x v="0"/>
    <s v="Credit Card"/>
    <x v="1"/>
    <x v="18"/>
    <n v="93220.108500000002"/>
    <x v="989"/>
    <x v="0"/>
    <x v="989"/>
  </r>
  <r>
    <n v="1065"/>
    <d v="2023-12-30T00:00:00"/>
    <x v="11"/>
    <s v="David"/>
    <x v="1"/>
    <n v="6801.71"/>
    <n v="9"/>
    <x v="0"/>
    <n v="335.82"/>
    <n v="498.31"/>
    <s v="New"/>
    <x v="12"/>
    <s v="Cash"/>
    <x v="1"/>
    <x v="3"/>
    <n v="3318.7446"/>
    <x v="990"/>
    <x v="0"/>
    <x v="990"/>
  </r>
  <r>
    <n v="1025"/>
    <d v="2023-12-30T00:00:00"/>
    <x v="11"/>
    <s v="David"/>
    <x v="2"/>
    <n v="9215.32"/>
    <n v="28"/>
    <x v="2"/>
    <n v="2097.84"/>
    <n v="2270.9899999999998"/>
    <s v="New"/>
    <x v="29"/>
    <s v="Credit Card"/>
    <x v="1"/>
    <x v="4"/>
    <n v="55321.316399999996"/>
    <x v="991"/>
    <x v="1"/>
    <x v="991"/>
  </r>
  <r>
    <n v="1003"/>
    <d v="2023-12-31T00:00:00"/>
    <x v="11"/>
    <s v="Alice"/>
    <x v="1"/>
    <n v="4775.59"/>
    <n v="30"/>
    <x v="1"/>
    <n v="4190.28"/>
    <n v="4270.6499999999996"/>
    <s v="New"/>
    <x v="3"/>
    <s v="Cash"/>
    <x v="0"/>
    <x v="15"/>
    <n v="102495.6"/>
    <x v="992"/>
    <x v="1"/>
    <x v="992"/>
  </r>
  <r>
    <n v="1086"/>
    <d v="2023-12-31T00:00:00"/>
    <x v="11"/>
    <s v="Alice"/>
    <x v="1"/>
    <n v="9269.32"/>
    <n v="33"/>
    <x v="0"/>
    <n v="3419.33"/>
    <n v="3890.3599999999901"/>
    <s v="Returning"/>
    <x v="5"/>
    <s v="Cash"/>
    <x v="1"/>
    <x v="15"/>
    <n v="101421.68519999975"/>
    <x v="993"/>
    <x v="1"/>
    <x v="993"/>
  </r>
  <r>
    <n v="1058"/>
    <d v="2023-12-31T00:00:00"/>
    <x v="11"/>
    <s v="Alice"/>
    <x v="2"/>
    <n v="4643.51"/>
    <n v="44"/>
    <x v="0"/>
    <n v="1910.47"/>
    <n v="2217.8000000000002"/>
    <s v="New"/>
    <x v="23"/>
    <s v="Bank Transfer"/>
    <x v="0"/>
    <x v="16"/>
    <n v="76114.896000000008"/>
    <x v="994"/>
    <x v="1"/>
    <x v="994"/>
  </r>
  <r>
    <n v="1094"/>
    <d v="2023-12-31T00:00:00"/>
    <x v="11"/>
    <s v="Bob"/>
    <x v="1"/>
    <n v="6586.22"/>
    <n v="15"/>
    <x v="3"/>
    <n v="4111.93"/>
    <n v="4338.67"/>
    <s v="Returning"/>
    <x v="12"/>
    <s v="Credit Card"/>
    <x v="0"/>
    <x v="8"/>
    <n v="48159.237000000001"/>
    <x v="995"/>
    <x v="1"/>
    <x v="995"/>
  </r>
  <r>
    <n v="1090"/>
    <d v="2023-12-31T00:00:00"/>
    <x v="11"/>
    <s v="Eve"/>
    <x v="2"/>
    <n v="3333.73"/>
    <n v="46"/>
    <x v="0"/>
    <n v="4665.12"/>
    <n v="4675.8999999999996"/>
    <s v="New"/>
    <x v="28"/>
    <s v="Cash"/>
    <x v="1"/>
    <x v="11"/>
    <n v="174224.03399999999"/>
    <x v="996"/>
    <x v="1"/>
    <x v="996"/>
  </r>
  <r>
    <n v="1018"/>
    <d v="2024-01-01T00:00:00"/>
    <x v="12"/>
    <s v="Alice"/>
    <x v="2"/>
    <n v="8579.7199999999993"/>
    <n v="24"/>
    <x v="2"/>
    <n v="1362.78"/>
    <n v="1729.81"/>
    <s v="New"/>
    <x v="14"/>
    <s v="Bank Transfer"/>
    <x v="0"/>
    <x v="16"/>
    <n v="29475.962399999997"/>
    <x v="997"/>
    <x v="1"/>
    <x v="997"/>
  </r>
  <r>
    <n v="1078"/>
    <d v="2024-01-01T00:00:00"/>
    <x v="12"/>
    <s v="David"/>
    <x v="3"/>
    <n v="8377.57"/>
    <n v="42"/>
    <x v="3"/>
    <n v="63.41"/>
    <n v="314.93"/>
    <s v="Returning"/>
    <x v="11"/>
    <s v="Cash"/>
    <x v="1"/>
    <x v="12"/>
    <n v="12830.2482"/>
    <x v="998"/>
    <x v="0"/>
    <x v="998"/>
  </r>
  <r>
    <n v="1098"/>
    <d v="2024-01-01T00:00:00"/>
    <x v="12"/>
    <s v="Bob"/>
    <x v="1"/>
    <n v="2370.7199999999998"/>
    <n v="11"/>
    <x v="0"/>
    <n v="213.41"/>
    <n v="503.36"/>
    <s v="Returning"/>
    <x v="10"/>
    <s v="Bank Transfer"/>
    <x v="0"/>
    <x v="8"/>
    <n v="4041.9808000000003"/>
    <x v="999"/>
    <x v="0"/>
    <x v="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CA37BC-2507-4EE2-B7FE-504FC45128A9}"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4:C20" firstHeaderRow="0" firstDataRow="1" firstDataCol="1"/>
  <pivotFields count="24">
    <pivotField showAll="0"/>
    <pivotField numFmtId="14" showAll="0"/>
    <pivotField numFmtId="14" showAll="0">
      <items count="14">
        <item x="0"/>
        <item x="1"/>
        <item x="2"/>
        <item x="3"/>
        <item x="4"/>
        <item x="5"/>
        <item x="6"/>
        <item x="7"/>
        <item x="8"/>
        <item x="9"/>
        <item x="10"/>
        <item x="11"/>
        <item x="12"/>
        <item t="default"/>
      </items>
    </pivotField>
    <pivotField showAll="0"/>
    <pivotField showAll="0"/>
    <pivotField numFmtId="44" showAll="0"/>
    <pivotField showAll="0"/>
    <pivotField showAll="0"/>
    <pivotField numFmtId="44" showAll="0"/>
    <pivotField numFmtId="44" showAll="0"/>
    <pivotField showAll="0"/>
    <pivotField numFmtId="2" showAll="0"/>
    <pivotField showAll="0"/>
    <pivotField showAll="0"/>
    <pivotField showAll="0"/>
    <pivotField dataField="1" numFmtId="44" showAll="0"/>
    <pivotField dataField="1" numFmtId="44" showAll="0"/>
    <pivotField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 dragToRow="0" dragToCol="0" dragToPage="0" showAll="0" defaultSubtotal="0"/>
    <pivotField dragToRow="0" dragToCol="0" dragToPage="0" showAll="0" defaultSubtotal="0"/>
  </pivotFields>
  <rowFields count="2">
    <field x="21"/>
    <field x="19"/>
  </rowFields>
  <rowItems count="16">
    <i>
      <x v="1"/>
    </i>
    <i r="1">
      <x v="1"/>
    </i>
    <i r="1">
      <x v="2"/>
    </i>
    <i r="1">
      <x v="3"/>
    </i>
    <i r="1">
      <x v="4"/>
    </i>
    <i r="1">
      <x v="5"/>
    </i>
    <i r="1">
      <x v="6"/>
    </i>
    <i r="1">
      <x v="7"/>
    </i>
    <i r="1">
      <x v="8"/>
    </i>
    <i r="1">
      <x v="9"/>
    </i>
    <i r="1">
      <x v="10"/>
    </i>
    <i r="1">
      <x v="11"/>
    </i>
    <i r="1">
      <x v="12"/>
    </i>
    <i>
      <x v="2"/>
    </i>
    <i r="1">
      <x v="1"/>
    </i>
    <i t="grand">
      <x/>
    </i>
  </rowItems>
  <colFields count="1">
    <field x="-2"/>
  </colFields>
  <colItems count="2">
    <i>
      <x/>
    </i>
    <i i="1">
      <x v="1"/>
    </i>
  </colItems>
  <dataFields count="2">
    <dataField name="Sum of Price after discount" fld="15" baseField="0" baseItem="0" numFmtId="44"/>
    <dataField name="Total Profit / Loss (₹)" fld="16" baseField="0" baseItem="0" numFmtId="44"/>
  </dataFields>
  <chartFormats count="2">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9AC8EA-370E-4BB1-983A-F17ADCD832D2}"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C6" firstHeaderRow="0" firstDataRow="1" firstDataCol="1"/>
  <pivotFields count="24">
    <pivotField showAll="0"/>
    <pivotField numFmtId="14" showAll="0"/>
    <pivotField numFmtId="14" showAll="0">
      <items count="14">
        <item x="0"/>
        <item x="1"/>
        <item x="2"/>
        <item x="3"/>
        <item x="4"/>
        <item x="5"/>
        <item x="6"/>
        <item x="7"/>
        <item x="8"/>
        <item x="9"/>
        <item x="10"/>
        <item x="11"/>
        <item x="12"/>
        <item t="default"/>
      </items>
    </pivotField>
    <pivotField showAll="0"/>
    <pivotField showAll="0"/>
    <pivotField numFmtId="44" showAll="0"/>
    <pivotField showAll="0"/>
    <pivotField axis="axisRow" showAll="0">
      <items count="5">
        <item x="0"/>
        <item x="2"/>
        <item x="3"/>
        <item x="1"/>
        <item t="default"/>
      </items>
    </pivotField>
    <pivotField numFmtId="44" showAll="0"/>
    <pivotField numFmtId="44" showAll="0"/>
    <pivotField showAll="0"/>
    <pivotField numFmtId="2" showAll="0"/>
    <pivotField showAll="0"/>
    <pivotField showAll="0"/>
    <pivotField showAll="0"/>
    <pivotField dataField="1" numFmtId="44" showAll="0"/>
    <pivotField dataField="1" numFmtId="44" showAll="0"/>
    <pivotField showAll="0"/>
    <pivotField numFmtId="9"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7"/>
  </rowFields>
  <rowItems count="5">
    <i>
      <x/>
    </i>
    <i>
      <x v="1"/>
    </i>
    <i>
      <x v="2"/>
    </i>
    <i>
      <x v="3"/>
    </i>
    <i t="grand">
      <x/>
    </i>
  </rowItems>
  <colFields count="1">
    <field x="-2"/>
  </colFields>
  <colItems count="2">
    <i>
      <x/>
    </i>
    <i i="1">
      <x v="1"/>
    </i>
  </colItems>
  <dataFields count="2">
    <dataField name="Sales (₹)" fld="15" baseField="0" baseItem="0" numFmtId="44"/>
    <dataField name="Profit/Loss (₹)" fld="16" baseField="0" baseItem="0" numFmtId="44"/>
  </dataFields>
  <chartFormats count="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7F7083-6EAF-43F9-BF01-C907F6522EE7}"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9" firstHeaderRow="1" firstDataRow="1" firstDataCol="1"/>
  <pivotFields count="24">
    <pivotField showAll="0"/>
    <pivotField numFmtId="14" showAll="0"/>
    <pivotField numFmtId="14" showAll="0">
      <items count="14">
        <item x="0"/>
        <item x="1"/>
        <item x="2"/>
        <item x="3"/>
        <item x="4"/>
        <item x="5"/>
        <item x="6"/>
        <item x="7"/>
        <item x="8"/>
        <item x="9"/>
        <item x="10"/>
        <item x="11"/>
        <item x="12"/>
        <item t="default"/>
      </items>
    </pivotField>
    <pivotField showAll="0"/>
    <pivotField axis="axisRow" showAll="0">
      <items count="5">
        <item x="3"/>
        <item x="0"/>
        <item x="1"/>
        <item x="2"/>
        <item t="default"/>
      </items>
    </pivotField>
    <pivotField numFmtId="44" showAll="0"/>
    <pivotField showAll="0"/>
    <pivotField showAll="0"/>
    <pivotField numFmtId="44" showAll="0"/>
    <pivotField numFmtId="44" showAll="0"/>
    <pivotField showAll="0"/>
    <pivotField numFmtId="2" showAll="0"/>
    <pivotField showAll="0"/>
    <pivotField showAll="0"/>
    <pivotField showAll="0"/>
    <pivotField dataField="1" numFmtId="44" showAll="0"/>
    <pivotField numFmtId="44" showAll="0"/>
    <pivotField multipleItemSelectionAllowed="1" showAll="0"/>
    <pivotField numFmtId="9"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Price after discount" fld="15" baseField="0" baseItem="0" numFmtId="44"/>
  </dataFields>
  <chartFormats count="5">
    <chartFormat chart="8" format="9"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4" count="1" selected="0">
            <x v="0"/>
          </reference>
        </references>
      </pivotArea>
    </chartFormat>
    <chartFormat chart="8" format="13">
      <pivotArea type="data" outline="0" fieldPosition="0">
        <references count="2">
          <reference field="4294967294" count="1" selected="0">
            <x v="0"/>
          </reference>
          <reference field="4" count="1" selected="0">
            <x v="1"/>
          </reference>
        </references>
      </pivotArea>
    </chartFormat>
    <chartFormat chart="8" format="14">
      <pivotArea type="data" outline="0" fieldPosition="0">
        <references count="2">
          <reference field="4294967294" count="1" selected="0">
            <x v="0"/>
          </reference>
          <reference field="4" count="1" selected="0">
            <x v="2"/>
          </reference>
        </references>
      </pivotArea>
    </chartFormat>
    <chartFormat chart="8"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1ED200-8D83-453E-8A63-C53DEB799D10}"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C6" firstHeaderRow="0" firstDataRow="1" firstDataCol="1"/>
  <pivotFields count="24">
    <pivotField showAll="0"/>
    <pivotField numFmtId="14" showAll="0"/>
    <pivotField numFmtId="14" showAll="0">
      <items count="14">
        <item x="0"/>
        <item x="1"/>
        <item x="2"/>
        <item x="3"/>
        <item x="4"/>
        <item x="5"/>
        <item x="6"/>
        <item x="7"/>
        <item x="8"/>
        <item x="9"/>
        <item x="10"/>
        <item x="11"/>
        <item x="12"/>
        <item t="default"/>
      </items>
    </pivotField>
    <pivotField showAll="0"/>
    <pivotField showAll="0"/>
    <pivotField numFmtId="44" showAll="0"/>
    <pivotField showAll="0"/>
    <pivotField axis="axisRow" showAll="0">
      <items count="5">
        <item x="0"/>
        <item x="2"/>
        <item x="3"/>
        <item x="1"/>
        <item t="default"/>
      </items>
    </pivotField>
    <pivotField numFmtId="44" showAll="0"/>
    <pivotField numFmtId="44" showAll="0"/>
    <pivotField showAll="0"/>
    <pivotField numFmtId="2" showAll="0">
      <items count="32">
        <item x="4"/>
        <item x="18"/>
        <item x="21"/>
        <item x="11"/>
        <item x="17"/>
        <item x="0"/>
        <item x="22"/>
        <item x="9"/>
        <item x="19"/>
        <item x="26"/>
        <item x="8"/>
        <item x="16"/>
        <item x="7"/>
        <item x="29"/>
        <item x="1"/>
        <item x="20"/>
        <item x="25"/>
        <item x="15"/>
        <item x="30"/>
        <item x="28"/>
        <item x="3"/>
        <item x="5"/>
        <item x="23"/>
        <item x="24"/>
        <item x="6"/>
        <item x="2"/>
        <item x="12"/>
        <item x="10"/>
        <item x="27"/>
        <item x="14"/>
        <item x="13"/>
        <item t="default"/>
      </items>
    </pivotField>
    <pivotField showAll="0"/>
    <pivotField showAll="0">
      <items count="3">
        <item x="0"/>
        <item x="1"/>
        <item t="default"/>
      </items>
    </pivotField>
    <pivotField showAll="0">
      <items count="21">
        <item x="9"/>
        <item x="5"/>
        <item x="6"/>
        <item x="12"/>
        <item x="7"/>
        <item x="13"/>
        <item x="10"/>
        <item x="1"/>
        <item x="19"/>
        <item x="0"/>
        <item x="15"/>
        <item x="8"/>
        <item x="17"/>
        <item x="3"/>
        <item x="2"/>
        <item x="16"/>
        <item x="18"/>
        <item x="14"/>
        <item x="4"/>
        <item x="11"/>
        <item t="default"/>
      </items>
    </pivotField>
    <pivotField dataField="1" numFmtId="44" showAll="0"/>
    <pivotField dataField="1" numFmtId="44" showAll="0">
      <items count="1001">
        <item x="572"/>
        <item x="158"/>
        <item x="249"/>
        <item x="657"/>
        <item x="802"/>
        <item x="351"/>
        <item x="208"/>
        <item x="322"/>
        <item x="256"/>
        <item x="524"/>
        <item x="471"/>
        <item x="486"/>
        <item x="996"/>
        <item x="748"/>
        <item x="800"/>
        <item x="526"/>
        <item x="334"/>
        <item x="599"/>
        <item x="84"/>
        <item x="198"/>
        <item x="99"/>
        <item x="777"/>
        <item x="152"/>
        <item x="289"/>
        <item x="398"/>
        <item x="174"/>
        <item x="104"/>
        <item x="258"/>
        <item x="179"/>
        <item x="560"/>
        <item x="352"/>
        <item x="578"/>
        <item x="838"/>
        <item x="171"/>
        <item x="362"/>
        <item x="178"/>
        <item x="66"/>
        <item x="266"/>
        <item x="39"/>
        <item x="317"/>
        <item x="676"/>
        <item x="551"/>
        <item x="119"/>
        <item x="694"/>
        <item x="901"/>
        <item x="890"/>
        <item x="252"/>
        <item x="523"/>
        <item x="795"/>
        <item x="580"/>
        <item x="267"/>
        <item x="579"/>
        <item x="476"/>
        <item x="109"/>
        <item x="144"/>
        <item x="867"/>
        <item x="712"/>
        <item x="5"/>
        <item x="88"/>
        <item x="835"/>
        <item x="310"/>
        <item x="924"/>
        <item x="251"/>
        <item x="483"/>
        <item x="873"/>
        <item x="167"/>
        <item x="445"/>
        <item x="519"/>
        <item x="341"/>
        <item x="969"/>
        <item x="581"/>
        <item x="992"/>
        <item x="35"/>
        <item x="494"/>
        <item x="371"/>
        <item x="529"/>
        <item x="680"/>
        <item x="69"/>
        <item x="571"/>
        <item x="354"/>
        <item x="361"/>
        <item x="270"/>
        <item x="110"/>
        <item x="114"/>
        <item x="384"/>
        <item x="365"/>
        <item x="71"/>
        <item x="160"/>
        <item x="750"/>
        <item x="569"/>
        <item x="721"/>
        <item x="592"/>
        <item x="18"/>
        <item x="937"/>
        <item x="455"/>
        <item x="704"/>
        <item x="649"/>
        <item x="716"/>
        <item x="620"/>
        <item x="374"/>
        <item x="387"/>
        <item x="836"/>
        <item x="472"/>
        <item x="223"/>
        <item x="122"/>
        <item x="417"/>
        <item x="74"/>
        <item x="89"/>
        <item x="977"/>
        <item x="261"/>
        <item x="315"/>
        <item x="559"/>
        <item x="646"/>
        <item x="652"/>
        <item x="927"/>
        <item x="125"/>
        <item x="788"/>
        <item x="121"/>
        <item x="226"/>
        <item x="436"/>
        <item x="628"/>
        <item x="849"/>
        <item x="732"/>
        <item x="418"/>
        <item x="693"/>
        <item x="948"/>
        <item x="734"/>
        <item x="146"/>
        <item x="68"/>
        <item x="478"/>
        <item x="691"/>
        <item x="761"/>
        <item x="615"/>
        <item x="111"/>
        <item x="133"/>
        <item x="203"/>
        <item x="123"/>
        <item x="6"/>
        <item x="995"/>
        <item x="385"/>
        <item x="723"/>
        <item x="287"/>
        <item x="831"/>
        <item x="791"/>
        <item x="987"/>
        <item x="127"/>
        <item x="1"/>
        <item x="980"/>
        <item x="819"/>
        <item x="405"/>
        <item x="803"/>
        <item x="335"/>
        <item x="532"/>
        <item x="713"/>
        <item x="593"/>
        <item x="702"/>
        <item x="427"/>
        <item x="905"/>
        <item x="561"/>
        <item x="13"/>
        <item x="812"/>
        <item x="339"/>
        <item x="772"/>
        <item x="637"/>
        <item x="582"/>
        <item x="978"/>
        <item x="605"/>
        <item x="347"/>
        <item x="232"/>
        <item x="81"/>
        <item x="284"/>
        <item x="959"/>
        <item x="67"/>
        <item x="953"/>
        <item x="359"/>
        <item x="775"/>
        <item x="902"/>
        <item x="562"/>
        <item x="993"/>
        <item x="165"/>
        <item x="954"/>
        <item x="86"/>
        <item x="972"/>
        <item x="64"/>
        <item x="402"/>
        <item x="719"/>
        <item x="136"/>
        <item x="707"/>
        <item x="955"/>
        <item x="751"/>
        <item x="841"/>
        <item x="233"/>
        <item x="673"/>
        <item x="161"/>
        <item x="887"/>
        <item x="42"/>
        <item x="683"/>
        <item x="625"/>
        <item x="705"/>
        <item x="290"/>
        <item x="779"/>
        <item x="379"/>
        <item x="142"/>
        <item x="433"/>
        <item x="406"/>
        <item x="273"/>
        <item x="576"/>
        <item x="626"/>
        <item x="17"/>
        <item x="769"/>
        <item x="517"/>
        <item x="95"/>
        <item x="29"/>
        <item x="622"/>
        <item x="432"/>
        <item x="758"/>
        <item x="448"/>
        <item x="554"/>
        <item x="225"/>
        <item x="426"/>
        <item x="475"/>
        <item x="205"/>
        <item x="277"/>
        <item x="380"/>
        <item x="661"/>
        <item x="381"/>
        <item x="941"/>
        <item x="41"/>
        <item x="96"/>
        <item x="801"/>
        <item x="435"/>
        <item x="338"/>
        <item x="703"/>
        <item x="191"/>
        <item x="291"/>
        <item x="792"/>
        <item x="504"/>
        <item x="549"/>
        <item x="491"/>
        <item x="344"/>
        <item x="422"/>
        <item x="400"/>
        <item x="52"/>
        <item x="357"/>
        <item x="378"/>
        <item x="855"/>
        <item x="735"/>
        <item x="320"/>
        <item x="420"/>
        <item x="945"/>
        <item x="976"/>
        <item x="670"/>
        <item x="762"/>
        <item x="245"/>
        <item x="994"/>
        <item x="458"/>
        <item x="794"/>
        <item x="312"/>
        <item x="957"/>
        <item x="128"/>
        <item x="255"/>
        <item x="214"/>
        <item x="16"/>
        <item x="522"/>
        <item x="893"/>
        <item x="516"/>
        <item x="173"/>
        <item x="496"/>
        <item x="229"/>
        <item x="643"/>
        <item x="100"/>
        <item x="916"/>
        <item x="558"/>
        <item x="50"/>
        <item x="196"/>
        <item x="804"/>
        <item x="241"/>
        <item x="32"/>
        <item x="180"/>
        <item x="218"/>
        <item x="230"/>
        <item x="882"/>
        <item x="543"/>
        <item x="684"/>
        <item x="820"/>
        <item x="283"/>
        <item x="538"/>
        <item x="309"/>
        <item x="30"/>
        <item x="942"/>
        <item x="869"/>
        <item x="166"/>
        <item x="962"/>
        <item x="175"/>
        <item x="588"/>
        <item x="345"/>
        <item x="262"/>
        <item x="952"/>
        <item x="221"/>
        <item x="163"/>
        <item x="395"/>
        <item x="896"/>
        <item x="449"/>
        <item x="372"/>
        <item x="271"/>
        <item x="879"/>
        <item x="465"/>
        <item x="895"/>
        <item x="784"/>
        <item x="944"/>
        <item x="939"/>
        <item x="129"/>
        <item x="709"/>
        <item x="116"/>
        <item x="724"/>
        <item x="212"/>
        <item x="58"/>
        <item x="740"/>
        <item x="624"/>
        <item x="591"/>
        <item x="585"/>
        <item x="612"/>
        <item x="474"/>
        <item x="672"/>
        <item x="974"/>
        <item x="854"/>
        <item x="204"/>
        <item x="228"/>
        <item x="337"/>
        <item x="382"/>
        <item x="323"/>
        <item x="986"/>
        <item x="757"/>
        <item x="817"/>
        <item x="48"/>
        <item x="177"/>
        <item x="956"/>
        <item x="34"/>
        <item x="9"/>
        <item x="234"/>
        <item x="195"/>
        <item x="135"/>
        <item x="846"/>
        <item x="700"/>
        <item x="224"/>
        <item x="839"/>
        <item x="899"/>
        <item x="776"/>
        <item x="451"/>
        <item x="644"/>
        <item x="857"/>
        <item x="300"/>
        <item x="502"/>
        <item x="477"/>
        <item x="866"/>
        <item x="602"/>
        <item x="280"/>
        <item x="733"/>
        <item x="598"/>
        <item x="511"/>
        <item x="533"/>
        <item x="295"/>
        <item x="61"/>
        <item x="10"/>
        <item x="201"/>
        <item x="763"/>
        <item x="664"/>
        <item x="589"/>
        <item x="76"/>
        <item x="3"/>
        <item x="401"/>
        <item x="480"/>
        <item x="450"/>
        <item x="754"/>
        <item x="105"/>
        <item x="919"/>
        <item x="973"/>
        <item x="611"/>
        <item x="520"/>
        <item x="311"/>
        <item x="63"/>
        <item x="930"/>
        <item x="431"/>
        <item x="814"/>
        <item x="263"/>
        <item x="72"/>
        <item x="925"/>
        <item x="984"/>
        <item x="687"/>
        <item x="452"/>
        <item x="698"/>
        <item x="894"/>
        <item x="62"/>
        <item x="991"/>
        <item x="793"/>
        <item x="861"/>
        <item x="665"/>
        <item x="45"/>
        <item x="468"/>
        <item x="140"/>
        <item x="653"/>
        <item x="333"/>
        <item x="319"/>
        <item x="669"/>
        <item x="997"/>
        <item x="358"/>
        <item x="720"/>
        <item x="608"/>
        <item x="396"/>
        <item x="685"/>
        <item x="525"/>
        <item x="8"/>
        <item x="499"/>
        <item x="176"/>
        <item x="285"/>
        <item x="808"/>
        <item x="534"/>
        <item x="875"/>
        <item x="913"/>
        <item x="888"/>
        <item x="531"/>
        <item x="507"/>
        <item x="725"/>
        <item x="55"/>
        <item x="268"/>
        <item x="928"/>
        <item x="726"/>
        <item x="424"/>
        <item x="188"/>
        <item x="386"/>
        <item x="826"/>
        <item x="254"/>
        <item x="183"/>
        <item x="19"/>
        <item x="348"/>
        <item x="138"/>
        <item x="755"/>
        <item x="307"/>
        <item x="574"/>
        <item x="184"/>
        <item x="87"/>
        <item x="609"/>
        <item x="296"/>
        <item x="789"/>
        <item x="778"/>
        <item x="399"/>
        <item x="209"/>
        <item x="911"/>
        <item x="324"/>
        <item x="587"/>
        <item x="940"/>
        <item x="456"/>
        <item x="509"/>
        <item x="257"/>
        <item x="809"/>
        <item x="350"/>
        <item x="645"/>
        <item x="850"/>
        <item x="938"/>
        <item x="513"/>
        <item x="553"/>
        <item x="601"/>
        <item x="805"/>
        <item x="650"/>
        <item x="459"/>
        <item x="658"/>
        <item x="837"/>
        <item x="730"/>
        <item x="535"/>
        <item x="154"/>
        <item x="677"/>
        <item x="329"/>
        <item x="546"/>
        <item x="112"/>
        <item x="80"/>
        <item x="265"/>
        <item x="567"/>
        <item x="604"/>
        <item x="282"/>
        <item x="425"/>
        <item x="346"/>
        <item x="797"/>
        <item x="314"/>
        <item x="143"/>
        <item x="489"/>
        <item x="921"/>
        <item x="903"/>
        <item x="555"/>
        <item x="47"/>
        <item x="565"/>
        <item x="77"/>
        <item x="912"/>
        <item x="618"/>
        <item x="540"/>
        <item x="211"/>
        <item x="853"/>
        <item x="217"/>
        <item x="413"/>
        <item x="36"/>
        <item x="696"/>
        <item x="182"/>
        <item x="260"/>
        <item x="304"/>
        <item x="767"/>
        <item x="275"/>
        <item x="343"/>
        <item x="172"/>
        <item x="139"/>
        <item x="917"/>
        <item x="634"/>
        <item x="900"/>
        <item x="492"/>
        <item x="796"/>
        <item x="739"/>
        <item x="102"/>
        <item x="269"/>
        <item x="914"/>
        <item x="786"/>
        <item x="170"/>
        <item x="773"/>
        <item x="20"/>
        <item x="570"/>
        <item x="79"/>
        <item x="134"/>
        <item x="603"/>
        <item x="843"/>
        <item x="22"/>
        <item x="607"/>
        <item x="906"/>
        <item x="419"/>
        <item x="124"/>
        <item x="963"/>
        <item x="394"/>
        <item x="909"/>
        <item x="932"/>
        <item x="606"/>
        <item x="397"/>
        <item x="389"/>
        <item x="884"/>
        <item x="633"/>
        <item x="827"/>
        <item x="220"/>
        <item x="487"/>
        <item x="75"/>
        <item x="410"/>
        <item x="964"/>
        <item x="711"/>
        <item x="274"/>
        <item x="583"/>
        <item x="830"/>
        <item x="369"/>
        <item x="648"/>
        <item x="37"/>
        <item x="766"/>
        <item x="90"/>
        <item x="415"/>
        <item x="539"/>
        <item x="651"/>
        <item x="181"/>
        <item x="292"/>
        <item x="815"/>
        <item x="169"/>
        <item x="259"/>
        <item x="872"/>
        <item x="566"/>
        <item x="771"/>
        <item x="863"/>
        <item x="293"/>
        <item x="189"/>
        <item x="126"/>
        <item x="60"/>
        <item x="235"/>
        <item x="641"/>
        <item x="298"/>
        <item x="363"/>
        <item x="82"/>
        <item x="215"/>
        <item x="318"/>
        <item x="108"/>
        <item x="647"/>
        <item x="904"/>
        <item x="961"/>
        <item x="2"/>
        <item x="238"/>
        <item x="443"/>
        <item x="479"/>
        <item x="278"/>
        <item x="981"/>
        <item x="242"/>
        <item x="454"/>
        <item x="985"/>
        <item x="264"/>
        <item x="25"/>
        <item x="162"/>
        <item x="728"/>
        <item x="810"/>
        <item x="332"/>
        <item x="92"/>
        <item x="878"/>
        <item x="951"/>
        <item x="881"/>
        <item x="660"/>
        <item x="97"/>
        <item x="231"/>
        <item x="390"/>
        <item x="760"/>
        <item x="548"/>
        <item x="541"/>
        <item x="816"/>
        <item x="745"/>
        <item x="272"/>
        <item x="388"/>
        <item x="493"/>
        <item x="391"/>
        <item x="297"/>
        <item x="586"/>
        <item x="236"/>
        <item x="743"/>
        <item x="288"/>
        <item x="434"/>
        <item x="545"/>
        <item x="279"/>
        <item x="864"/>
        <item x="982"/>
        <item x="958"/>
        <item x="860"/>
        <item x="250"/>
        <item x="594"/>
        <item x="891"/>
        <item x="842"/>
        <item x="429"/>
        <item x="528"/>
        <item x="219"/>
        <item x="15"/>
        <item x="118"/>
        <item x="328"/>
        <item x="926"/>
        <item x="883"/>
        <item x="117"/>
        <item x="547"/>
        <item x="990"/>
        <item x="485"/>
        <item x="149"/>
        <item x="70"/>
        <item x="886"/>
        <item x="521"/>
        <item x="202"/>
        <item x="412"/>
        <item x="542"/>
        <item x="253"/>
        <item x="145"/>
        <item x="375"/>
        <item x="366"/>
        <item x="848"/>
        <item x="515"/>
        <item x="682"/>
        <item x="447"/>
        <item x="330"/>
        <item x="190"/>
        <item x="481"/>
        <item x="783"/>
        <item x="38"/>
        <item x="164"/>
        <item x="874"/>
        <item x="834"/>
        <item x="4"/>
        <item x="753"/>
        <item x="892"/>
        <item x="557"/>
        <item x="862"/>
        <item x="636"/>
        <item x="497"/>
        <item x="870"/>
        <item x="498"/>
        <item x="243"/>
        <item x="199"/>
        <item x="780"/>
        <item x="675"/>
        <item x="715"/>
        <item x="943"/>
        <item x="949"/>
        <item x="960"/>
        <item x="12"/>
        <item x="851"/>
        <item x="933"/>
        <item x="852"/>
        <item x="822"/>
        <item x="56"/>
        <item x="148"/>
        <item x="27"/>
        <item x="155"/>
        <item x="23"/>
        <item x="156"/>
        <item x="107"/>
        <item x="325"/>
        <item x="216"/>
        <item x="444"/>
        <item x="918"/>
        <item x="701"/>
        <item x="934"/>
        <item x="54"/>
        <item x="654"/>
        <item x="59"/>
        <item x="376"/>
        <item x="737"/>
        <item x="85"/>
        <item x="349"/>
        <item x="749"/>
        <item x="367"/>
        <item x="568"/>
        <item x="910"/>
        <item x="65"/>
        <item x="302"/>
        <item x="844"/>
        <item x="414"/>
        <item x="768"/>
        <item x="847"/>
        <item x="550"/>
        <item x="840"/>
        <item x="936"/>
        <item x="781"/>
        <item x="714"/>
        <item x="512"/>
        <item x="514"/>
        <item x="889"/>
        <item x="552"/>
        <item x="663"/>
        <item x="340"/>
        <item x="423"/>
        <item x="865"/>
        <item x="828"/>
        <item x="356"/>
        <item x="370"/>
        <item x="157"/>
        <item x="736"/>
        <item x="931"/>
        <item x="200"/>
        <item x="103"/>
        <item x="31"/>
        <item x="632"/>
        <item x="301"/>
        <item x="999"/>
        <item x="946"/>
        <item x="613"/>
        <item x="832"/>
        <item x="355"/>
        <item x="331"/>
        <item x="98"/>
        <item x="248"/>
        <item x="908"/>
        <item x="929"/>
        <item x="186"/>
        <item x="638"/>
        <item x="742"/>
        <item x="988"/>
        <item x="94"/>
        <item x="718"/>
        <item x="629"/>
        <item x="442"/>
        <item x="408"/>
        <item x="756"/>
        <item x="610"/>
        <item x="621"/>
        <item x="868"/>
        <item x="782"/>
        <item x="316"/>
        <item x="806"/>
        <item x="590"/>
        <item x="635"/>
        <item x="738"/>
        <item x="453"/>
        <item x="120"/>
        <item x="460"/>
        <item x="46"/>
        <item x="630"/>
        <item x="527"/>
        <item x="688"/>
        <item x="441"/>
        <item x="78"/>
        <item x="573"/>
        <item x="989"/>
        <item x="505"/>
        <item x="671"/>
        <item x="717"/>
        <item x="508"/>
        <item x="407"/>
        <item x="824"/>
        <item x="222"/>
        <item x="131"/>
        <item x="500"/>
        <item x="799"/>
        <item x="790"/>
        <item x="40"/>
        <item x="746"/>
        <item x="501"/>
        <item x="577"/>
        <item x="193"/>
        <item x="708"/>
        <item x="885"/>
        <item x="923"/>
        <item x="858"/>
        <item x="446"/>
        <item x="642"/>
        <item x="727"/>
        <item x="360"/>
        <item x="409"/>
        <item x="187"/>
        <item x="197"/>
        <item x="668"/>
        <item x="639"/>
        <item x="439"/>
        <item x="833"/>
        <item x="240"/>
        <item x="667"/>
        <item x="462"/>
        <item x="845"/>
        <item x="404"/>
        <item x="975"/>
        <item x="403"/>
        <item x="697"/>
        <item x="246"/>
        <item x="679"/>
        <item x="655"/>
        <item x="829"/>
        <item x="536"/>
        <item x="747"/>
        <item x="584"/>
        <item x="73"/>
        <item x="544"/>
        <item x="692"/>
        <item x="342"/>
        <item x="115"/>
        <item x="185"/>
        <item x="306"/>
        <item x="57"/>
        <item x="276"/>
        <item x="876"/>
        <item x="303"/>
        <item x="210"/>
        <item x="336"/>
        <item x="616"/>
        <item x="662"/>
        <item x="510"/>
        <item x="490"/>
        <item x="706"/>
        <item x="286"/>
        <item x="563"/>
        <item x="430"/>
        <item x="377"/>
        <item x="877"/>
        <item x="825"/>
        <item x="731"/>
        <item x="818"/>
        <item x="681"/>
        <item x="907"/>
        <item x="113"/>
        <item x="469"/>
        <item x="7"/>
        <item x="308"/>
        <item x="44"/>
        <item x="137"/>
        <item x="393"/>
        <item x="530"/>
        <item x="659"/>
        <item x="823"/>
        <item x="326"/>
        <item x="506"/>
        <item x="695"/>
        <item x="313"/>
        <item x="689"/>
        <item x="623"/>
        <item x="247"/>
        <item x="321"/>
        <item x="556"/>
        <item x="147"/>
        <item x="93"/>
        <item x="798"/>
        <item x="383"/>
        <item x="484"/>
        <item x="21"/>
        <item x="614"/>
        <item x="353"/>
        <item x="368"/>
        <item x="466"/>
        <item x="24"/>
        <item x="463"/>
        <item x="690"/>
        <item x="686"/>
        <item x="674"/>
        <item x="194"/>
        <item x="965"/>
        <item x="213"/>
        <item x="53"/>
        <item x="51"/>
        <item x="168"/>
        <item x="106"/>
        <item x="150"/>
        <item x="600"/>
        <item x="237"/>
        <item x="813"/>
        <item x="151"/>
        <item x="0"/>
        <item x="101"/>
        <item x="206"/>
        <item x="967"/>
        <item x="83"/>
        <item x="327"/>
        <item x="428"/>
        <item x="440"/>
        <item x="595"/>
        <item x="935"/>
        <item x="979"/>
        <item x="787"/>
        <item x="411"/>
        <item x="153"/>
        <item x="922"/>
        <item x="457"/>
        <item x="666"/>
        <item x="438"/>
        <item x="710"/>
        <item x="518"/>
        <item x="729"/>
        <item x="564"/>
        <item x="421"/>
        <item x="192"/>
        <item x="503"/>
        <item x="437"/>
        <item x="752"/>
        <item x="461"/>
        <item x="722"/>
        <item x="473"/>
        <item x="33"/>
        <item x="132"/>
        <item x="227"/>
        <item x="744"/>
        <item x="640"/>
        <item x="470"/>
        <item x="759"/>
        <item x="575"/>
        <item x="207"/>
        <item x="596"/>
        <item x="821"/>
        <item x="897"/>
        <item x="495"/>
        <item x="678"/>
        <item x="28"/>
        <item x="631"/>
        <item x="619"/>
        <item x="968"/>
        <item x="617"/>
        <item x="464"/>
        <item x="811"/>
        <item x="807"/>
        <item x="488"/>
        <item x="998"/>
        <item x="947"/>
        <item x="950"/>
        <item x="785"/>
        <item x="305"/>
        <item x="871"/>
        <item x="920"/>
        <item x="741"/>
        <item x="239"/>
        <item x="856"/>
        <item x="392"/>
        <item x="364"/>
        <item x="294"/>
        <item x="627"/>
        <item x="91"/>
        <item x="130"/>
        <item x="656"/>
        <item x="141"/>
        <item x="244"/>
        <item x="597"/>
        <item x="859"/>
        <item x="966"/>
        <item x="14"/>
        <item x="43"/>
        <item x="482"/>
        <item x="416"/>
        <item x="970"/>
        <item x="699"/>
        <item x="765"/>
        <item x="774"/>
        <item x="898"/>
        <item x="373"/>
        <item x="915"/>
        <item x="159"/>
        <item x="49"/>
        <item x="26"/>
        <item x="971"/>
        <item x="299"/>
        <item x="281"/>
        <item x="770"/>
        <item x="11"/>
        <item x="983"/>
        <item x="467"/>
        <item x="880"/>
        <item x="537"/>
        <item x="764"/>
        <item t="default"/>
      </items>
    </pivotField>
    <pivotField showAll="0">
      <items count="3">
        <item x="1"/>
        <item x="0"/>
        <item t="default"/>
      </items>
    </pivotField>
    <pivotField numFmtId="9" showAll="0">
      <items count="1001">
        <item x="551"/>
        <item x="289"/>
        <item x="266"/>
        <item x="334"/>
        <item x="748"/>
        <item x="171"/>
        <item x="322"/>
        <item x="593"/>
        <item x="777"/>
        <item x="587"/>
        <item x="18"/>
        <item x="978"/>
        <item x="166"/>
        <item x="504"/>
        <item x="707"/>
        <item x="572"/>
        <item x="767"/>
        <item x="620"/>
        <item x="838"/>
        <item x="413"/>
        <item x="418"/>
        <item x="772"/>
        <item x="608"/>
        <item x="160"/>
        <item x="158"/>
        <item x="901"/>
        <item x="657"/>
        <item x="740"/>
        <item x="178"/>
        <item x="750"/>
        <item x="475"/>
        <item x="267"/>
        <item x="643"/>
        <item x="890"/>
        <item x="977"/>
        <item x="836"/>
        <item x="680"/>
        <item x="436"/>
        <item x="794"/>
        <item x="800"/>
        <item x="579"/>
        <item x="351"/>
        <item x="802"/>
        <item x="249"/>
        <item x="702"/>
        <item x="315"/>
        <item x="712"/>
        <item x="451"/>
        <item x="125"/>
        <item x="592"/>
        <item x="84"/>
        <item x="491"/>
        <item x="335"/>
        <item x="123"/>
        <item x="251"/>
        <item x="628"/>
        <item x="417"/>
        <item x="831"/>
        <item x="69"/>
        <item x="256"/>
        <item x="486"/>
        <item x="359"/>
        <item x="959"/>
        <item x="362"/>
        <item x="532"/>
        <item x="254"/>
        <item x="995"/>
        <item x="198"/>
        <item x="295"/>
        <item x="13"/>
        <item x="270"/>
        <item x="398"/>
        <item x="395"/>
        <item x="163"/>
        <item x="560"/>
        <item x="726"/>
        <item x="669"/>
        <item x="476"/>
        <item x="99"/>
        <item x="174"/>
        <item x="119"/>
        <item x="402"/>
        <item x="218"/>
        <item x="252"/>
        <item x="127"/>
        <item x="857"/>
        <item x="519"/>
        <item x="317"/>
        <item x="984"/>
        <item x="693"/>
        <item x="387"/>
        <item x="869"/>
        <item x="341"/>
        <item x="526"/>
        <item x="524"/>
        <item x="34"/>
        <item x="581"/>
        <item x="179"/>
        <item x="196"/>
        <item x="16"/>
        <item x="691"/>
        <item x="146"/>
        <item x="208"/>
        <item x="775"/>
        <item x="95"/>
        <item x="39"/>
        <item x="88"/>
        <item x="384"/>
        <item x="873"/>
        <item x="471"/>
        <item x="867"/>
        <item x="427"/>
        <item x="371"/>
        <item x="928"/>
        <item x="116"/>
        <item x="625"/>
        <item x="458"/>
        <item x="41"/>
        <item x="5"/>
        <item x="277"/>
        <item x="310"/>
        <item x="887"/>
        <item x="826"/>
        <item x="676"/>
        <item x="344"/>
        <item x="637"/>
        <item x="924"/>
        <item x="128"/>
        <item x="703"/>
        <item x="431"/>
        <item x="379"/>
        <item x="694"/>
        <item x="71"/>
        <item x="788"/>
        <item x="450"/>
        <item x="483"/>
        <item x="996"/>
        <item x="721"/>
        <item x="553"/>
        <item x="893"/>
        <item x="104"/>
        <item x="6"/>
        <item x="569"/>
        <item x="3"/>
        <item x="255"/>
        <item x="582"/>
        <item x="992"/>
        <item x="955"/>
        <item x="502"/>
        <item x="598"/>
        <item x="900"/>
        <item x="76"/>
        <item x="114"/>
        <item x="66"/>
        <item x="422"/>
        <item x="365"/>
        <item x="953"/>
        <item x="559"/>
        <item x="558"/>
        <item x="472"/>
        <item x="815"/>
        <item x="599"/>
        <item x="905"/>
        <item x="89"/>
        <item x="719"/>
        <item x="234"/>
        <item x="105"/>
        <item x="525"/>
        <item x="144"/>
        <item x="352"/>
        <item x="649"/>
        <item x="980"/>
        <item x="226"/>
        <item x="761"/>
        <item x="489"/>
        <item x="927"/>
        <item x="309"/>
        <item x="523"/>
        <item x="347"/>
        <item x="499"/>
        <item x="713"/>
        <item x="181"/>
        <item x="939"/>
        <item x="167"/>
        <item x="152"/>
        <item x="945"/>
        <item x="804"/>
        <item x="400"/>
        <item x="235"/>
        <item x="571"/>
        <item x="48"/>
        <item x="562"/>
        <item x="578"/>
        <item x="533"/>
        <item x="405"/>
        <item x="433"/>
        <item x="258"/>
        <item x="110"/>
        <item x="673"/>
        <item x="406"/>
        <item x="369"/>
        <item x="863"/>
        <item x="329"/>
        <item x="337"/>
        <item x="290"/>
        <item x="211"/>
        <item x="224"/>
        <item x="529"/>
        <item x="86"/>
        <item x="878"/>
        <item x="698"/>
        <item x="884"/>
        <item x="602"/>
        <item x="626"/>
        <item x="646"/>
        <item x="969"/>
        <item x="74"/>
        <item x="323"/>
        <item x="339"/>
        <item x="361"/>
        <item x="705"/>
        <item x="223"/>
        <item x="803"/>
        <item x="96"/>
        <item x="312"/>
        <item x="262"/>
        <item x="32"/>
        <item x="225"/>
        <item x="100"/>
        <item x="622"/>
        <item x="820"/>
        <item x="183"/>
        <item x="795"/>
        <item x="841"/>
        <item x="10"/>
        <item x="410"/>
        <item x="154"/>
        <item x="64"/>
        <item x="735"/>
        <item x="283"/>
        <item x="68"/>
        <item x="380"/>
        <item x="902"/>
        <item x="603"/>
        <item x="109"/>
        <item x="554"/>
        <item x="203"/>
        <item x="849"/>
        <item x="732"/>
        <item x="948"/>
        <item x="725"/>
        <item x="142"/>
        <item x="257"/>
        <item x="861"/>
        <item x="284"/>
        <item x="615"/>
        <item x="531"/>
        <item x="957"/>
        <item x="474"/>
        <item x="426"/>
        <item x="459"/>
        <item x="835"/>
        <item x="576"/>
        <item x="138"/>
        <item x="580"/>
        <item x="445"/>
        <item x="35"/>
        <item x="916"/>
        <item x="866"/>
        <item x="973"/>
        <item x="165"/>
        <item x="817"/>
        <item x="191"/>
        <item x="374"/>
        <item x="661"/>
        <item x="354"/>
        <item x="173"/>
        <item x="205"/>
        <item x="346"/>
        <item x="757"/>
        <item x="111"/>
        <item x="261"/>
        <item x="751"/>
        <item x="478"/>
        <item x="534"/>
        <item x="50"/>
        <item x="494"/>
        <item x="455"/>
        <item x="140"/>
        <item x="962"/>
        <item x="716"/>
        <item x="538"/>
        <item x="565"/>
        <item x="872"/>
        <item x="855"/>
        <item x="232"/>
        <item x="300"/>
        <item x="278"/>
        <item x="896"/>
        <item x="468"/>
        <item x="522"/>
        <item x="396"/>
        <item x="394"/>
        <item x="819"/>
        <item x="287"/>
        <item x="987"/>
        <item x="161"/>
        <item x="937"/>
        <item x="129"/>
        <item x="292"/>
        <item x="87"/>
        <item x="972"/>
        <item x="136"/>
        <item x="180"/>
        <item x="122"/>
        <item x="854"/>
        <item x="683"/>
        <item x="62"/>
        <item x="139"/>
        <item x="665"/>
        <item x="30"/>
        <item x="704"/>
        <item x="792"/>
        <item x="574"/>
        <item x="754"/>
        <item x="170"/>
        <item x="401"/>
        <item x="954"/>
        <item x="730"/>
        <item x="653"/>
        <item x="801"/>
        <item x="846"/>
        <item x="739"/>
        <item x="324"/>
        <item x="516"/>
        <item x="385"/>
        <item x="345"/>
        <item x="535"/>
        <item x="487"/>
        <item x="601"/>
        <item x="797"/>
        <item x="791"/>
        <item x="432"/>
        <item x="993"/>
        <item x="808"/>
        <item x="36"/>
        <item x="963"/>
        <item x="520"/>
        <item x="997"/>
        <item x="189"/>
        <item x="420"/>
        <item x="121"/>
        <item x="273"/>
        <item x="589"/>
        <item x="228"/>
        <item x="994"/>
        <item x="172"/>
        <item x="9"/>
        <item x="233"/>
        <item x="357"/>
        <item x="776"/>
        <item x="480"/>
        <item x="644"/>
        <item x="81"/>
        <item x="1"/>
        <item x="723"/>
        <item x="230"/>
        <item x="974"/>
        <item x="307"/>
        <item x="814"/>
        <item x="20"/>
        <item x="585"/>
        <item x="282"/>
        <item x="810"/>
        <item x="755"/>
        <item x="215"/>
        <item x="52"/>
        <item x="126"/>
        <item x="843"/>
        <item x="796"/>
        <item x="672"/>
        <item x="265"/>
        <item x="670"/>
        <item x="477"/>
        <item x="45"/>
        <item x="561"/>
        <item x="882"/>
        <item x="618"/>
        <item x="188"/>
        <item x="382"/>
        <item x="583"/>
        <item x="133"/>
        <item x="175"/>
        <item x="19"/>
        <item x="42"/>
        <item x="271"/>
        <item x="566"/>
        <item x="29"/>
        <item x="976"/>
        <item x="424"/>
        <item x="839"/>
        <item x="135"/>
        <item x="784"/>
        <item x="940"/>
        <item x="511"/>
        <item x="734"/>
        <item x="652"/>
        <item x="604"/>
        <item x="942"/>
        <item x="605"/>
        <item x="333"/>
        <item x="214"/>
        <item x="779"/>
        <item x="850"/>
        <item x="275"/>
        <item x="758"/>
        <item x="61"/>
        <item x="298"/>
        <item x="229"/>
        <item x="938"/>
        <item x="944"/>
        <item x="700"/>
        <item x="952"/>
        <item x="448"/>
        <item x="733"/>
        <item x="358"/>
        <item x="517"/>
        <item x="67"/>
        <item x="22"/>
        <item x="449"/>
        <item x="221"/>
        <item x="269"/>
        <item x="549"/>
        <item x="415"/>
        <item x="809"/>
        <item x="684"/>
        <item x="280"/>
        <item x="220"/>
        <item x="285"/>
        <item x="8"/>
        <item x="879"/>
        <item x="773"/>
        <item x="805"/>
        <item x="425"/>
        <item x="293"/>
        <item x="894"/>
        <item x="685"/>
        <item x="386"/>
        <item x="212"/>
        <item x="917"/>
        <item x="941"/>
        <item x="720"/>
        <item x="546"/>
        <item x="812"/>
        <item x="350"/>
        <item x="991"/>
        <item x="837"/>
        <item x="513"/>
        <item x="895"/>
        <item x="17"/>
        <item x="789"/>
        <item x="769"/>
        <item x="314"/>
        <item x="932"/>
        <item x="217"/>
        <item x="378"/>
        <item x="177"/>
        <item x="195"/>
        <item x="291"/>
        <item x="651"/>
        <item x="612"/>
        <item x="899"/>
        <item x="319"/>
        <item x="320"/>
        <item x="260"/>
        <item x="389"/>
        <item x="912"/>
        <item x="609"/>
        <item x="338"/>
        <item x="381"/>
        <item x="456"/>
        <item x="204"/>
        <item x="687"/>
        <item x="762"/>
        <item x="724"/>
        <item x="921"/>
        <item x="875"/>
        <item x="986"/>
        <item x="591"/>
        <item x="911"/>
        <item x="903"/>
        <item x="201"/>
        <item x="343"/>
        <item x="47"/>
        <item x="540"/>
        <item x="245"/>
        <item x="677"/>
        <item x="624"/>
        <item x="63"/>
        <item x="465"/>
        <item x="143"/>
        <item x="964"/>
        <item x="372"/>
        <item x="184"/>
        <item x="634"/>
        <item x="348"/>
        <item x="607"/>
        <item x="263"/>
        <item x="543"/>
        <item x="611"/>
        <item x="274"/>
        <item x="311"/>
        <item x="296"/>
        <item x="919"/>
        <item x="709"/>
        <item x="435"/>
        <item x="888"/>
        <item x="778"/>
        <item x="241"/>
        <item x="496"/>
        <item x="906"/>
        <item x="658"/>
        <item x="112"/>
        <item x="555"/>
        <item x="588"/>
        <item x="242"/>
        <item x="209"/>
        <item x="509"/>
        <item x="645"/>
        <item x="786"/>
        <item x="650"/>
        <item x="79"/>
        <item x="763"/>
        <item x="397"/>
        <item x="134"/>
        <item x="58"/>
        <item x="956"/>
        <item x="72"/>
        <item x="419"/>
        <item x="664"/>
        <item x="443"/>
        <item x="925"/>
        <item x="913"/>
        <item x="507"/>
        <item x="914"/>
        <item x="479"/>
        <item x="2"/>
        <item x="830"/>
        <item x="80"/>
        <item x="696"/>
        <item x="75"/>
        <item x="108"/>
        <item x="259"/>
        <item x="124"/>
        <item x="268"/>
        <item x="82"/>
        <item x="452"/>
        <item x="399"/>
        <item x="176"/>
        <item x="102"/>
        <item x="567"/>
        <item x="981"/>
        <item x="90"/>
        <item x="930"/>
        <item x="25"/>
        <item x="304"/>
        <item x="332"/>
        <item x="793"/>
        <item x="641"/>
        <item x="711"/>
        <item x="633"/>
        <item x="77"/>
        <item x="238"/>
        <item x="55"/>
        <item x="853"/>
        <item x="648"/>
        <item x="647"/>
        <item x="37"/>
        <item x="60"/>
        <item x="827"/>
        <item x="606"/>
        <item x="909"/>
        <item x="881"/>
        <item x="454"/>
        <item x="182"/>
        <item x="951"/>
        <item x="570"/>
        <item x="904"/>
        <item x="318"/>
        <item x="363"/>
        <item x="492"/>
        <item x="766"/>
        <item x="169"/>
        <item x="985"/>
        <item x="728"/>
        <item x="264"/>
        <item x="660"/>
        <item x="961"/>
        <item x="539"/>
        <item x="771"/>
        <item x="92"/>
        <item x="162"/>
        <item x="231"/>
        <item x="97"/>
        <item x="816"/>
        <item x="541"/>
        <item x="982"/>
        <item x="328"/>
        <item x="493"/>
        <item x="330"/>
        <item x="236"/>
        <item x="250"/>
        <item x="190"/>
        <item x="548"/>
        <item x="745"/>
        <item x="926"/>
        <item x="390"/>
        <item x="528"/>
        <item x="4"/>
        <item x="297"/>
        <item x="375"/>
        <item x="429"/>
        <item x="960"/>
        <item x="886"/>
        <item x="497"/>
        <item x="272"/>
        <item x="253"/>
        <item x="891"/>
        <item x="148"/>
        <item x="156"/>
        <item x="586"/>
        <item x="356"/>
        <item x="934"/>
        <item x="366"/>
        <item x="370"/>
        <item x="288"/>
        <item x="164"/>
        <item x="638"/>
        <item x="367"/>
        <item x="715"/>
        <item x="929"/>
        <item x="157"/>
        <item x="515"/>
        <item x="434"/>
        <item x="31"/>
        <item x="550"/>
        <item x="743"/>
        <item x="216"/>
        <item x="447"/>
        <item x="688"/>
        <item x="824"/>
        <item x="38"/>
        <item x="783"/>
        <item x="149"/>
        <item x="552"/>
        <item x="833"/>
        <item x="931"/>
        <item x="412"/>
        <item x="388"/>
        <item x="46"/>
        <item x="199"/>
        <item x="500"/>
        <item x="316"/>
        <item x="737"/>
        <item x="542"/>
        <item x="240"/>
        <item x="799"/>
        <item x="512"/>
        <item x="409"/>
        <item x="870"/>
        <item x="441"/>
        <item x="353"/>
        <item x="120"/>
        <item x="391"/>
        <item x="865"/>
        <item x="989"/>
        <item x="858"/>
        <item x="848"/>
        <item x="485"/>
        <item x="94"/>
        <item x="286"/>
        <item x="760"/>
        <item x="630"/>
        <item x="73"/>
        <item x="186"/>
        <item x="958"/>
        <item x="336"/>
        <item x="527"/>
        <item x="360"/>
        <item x="460"/>
        <item x="303"/>
        <item x="847"/>
        <item x="768"/>
        <item x="584"/>
        <item x="40"/>
        <item x="222"/>
        <item x="822"/>
        <item x="834"/>
        <item x="0"/>
        <item x="862"/>
        <item x="65"/>
        <item x="437"/>
        <item x="933"/>
        <item x="85"/>
        <item x="747"/>
        <item x="840"/>
        <item x="813"/>
        <item x="682"/>
        <item x="115"/>
        <item x="28"/>
        <item x="635"/>
        <item x="440"/>
        <item x="210"/>
        <item x="498"/>
        <item x="742"/>
        <item x="753"/>
        <item x="706"/>
        <item x="466"/>
        <item x="544"/>
        <item x="756"/>
        <item x="621"/>
        <item x="892"/>
        <item x="614"/>
        <item x="749"/>
        <item x="423"/>
        <item x="908"/>
        <item x="404"/>
        <item x="414"/>
        <item x="868"/>
        <item x="674"/>
        <item x="200"/>
        <item x="510"/>
        <item x="946"/>
        <item x="573"/>
        <item x="781"/>
        <item x="70"/>
        <item x="947"/>
        <item x="321"/>
        <item x="57"/>
        <item x="787"/>
        <item x="851"/>
        <item x="376"/>
        <item x="746"/>
        <item x="563"/>
        <item x="883"/>
        <item x="12"/>
        <item x="197"/>
        <item x="101"/>
        <item x="505"/>
        <item x="246"/>
        <item x="577"/>
        <item x="194"/>
        <item x="349"/>
        <item x="54"/>
        <item x="597"/>
        <item x="547"/>
        <item x="600"/>
        <item x="798"/>
        <item x="453"/>
        <item x="828"/>
        <item x="710"/>
        <item x="342"/>
        <item x="639"/>
        <item x="790"/>
        <item x="302"/>
        <item x="594"/>
        <item x="340"/>
        <item x="117"/>
        <item x="915"/>
        <item x="481"/>
        <item x="666"/>
        <item x="377"/>
        <item x="243"/>
        <item x="736"/>
        <item x="411"/>
        <item x="213"/>
        <item x="613"/>
        <item x="207"/>
        <item x="692"/>
        <item x="764"/>
        <item x="708"/>
        <item x="470"/>
        <item x="518"/>
        <item x="575"/>
        <item x="832"/>
        <item x="752"/>
        <item x="327"/>
        <item x="168"/>
        <item x="514"/>
        <item x="907"/>
        <item x="408"/>
        <item x="970"/>
        <item x="239"/>
        <item x="975"/>
        <item x="462"/>
        <item x="990"/>
        <item x="43"/>
        <item x="78"/>
        <item x="631"/>
        <item x="825"/>
        <item x="202"/>
        <item x="718"/>
        <item x="889"/>
        <item x="656"/>
        <item x="151"/>
        <item x="965"/>
        <item x="469"/>
        <item x="699"/>
        <item x="464"/>
        <item x="806"/>
        <item x="147"/>
        <item x="741"/>
        <item x="595"/>
        <item x="219"/>
        <item x="91"/>
        <item x="484"/>
        <item x="248"/>
        <item x="49"/>
        <item x="27"/>
        <item x="276"/>
        <item x="364"/>
        <item x="501"/>
        <item x="668"/>
        <item x="556"/>
        <item x="874"/>
        <item x="979"/>
        <item x="530"/>
        <item x="308"/>
        <item x="444"/>
        <item x="759"/>
        <item x="383"/>
        <item x="701"/>
        <item x="729"/>
        <item x="744"/>
        <item x="885"/>
        <item x="461"/>
        <item x="118"/>
        <item x="131"/>
        <item x="842"/>
        <item x="536"/>
        <item x="137"/>
        <item x="654"/>
        <item x="949"/>
        <item x="44"/>
        <item x="738"/>
        <item x="159"/>
        <item x="325"/>
        <item x="564"/>
        <item x="811"/>
        <item x="829"/>
        <item x="457"/>
        <item x="15"/>
        <item x="671"/>
        <item x="83"/>
        <item x="506"/>
        <item x="695"/>
        <item x="659"/>
        <item x="968"/>
        <item x="681"/>
        <item x="880"/>
        <item x="56"/>
        <item x="619"/>
        <item x="132"/>
        <item x="616"/>
        <item x="192"/>
        <item x="782"/>
        <item x="632"/>
        <item x="281"/>
        <item x="490"/>
        <item x="689"/>
        <item x="697"/>
        <item x="675"/>
        <item x="24"/>
        <item x="966"/>
        <item x="294"/>
        <item x="731"/>
        <item x="864"/>
        <item x="640"/>
        <item x="663"/>
        <item x="227"/>
        <item x="667"/>
        <item x="446"/>
        <item x="7"/>
        <item x="306"/>
        <item x="642"/>
        <item x="910"/>
        <item x="943"/>
        <item x="557"/>
        <item x="93"/>
        <item x="392"/>
        <item x="23"/>
        <item x="859"/>
        <item x="313"/>
        <item x="244"/>
        <item x="98"/>
        <item x="141"/>
        <item x="107"/>
        <item x="301"/>
        <item x="971"/>
        <item x="679"/>
        <item x="150"/>
        <item x="521"/>
        <item x="185"/>
        <item x="568"/>
        <item x="988"/>
        <item x="106"/>
        <item x="596"/>
        <item x="145"/>
        <item x="590"/>
        <item x="59"/>
        <item x="852"/>
        <item x="326"/>
        <item x="488"/>
        <item x="11"/>
        <item x="331"/>
        <item x="856"/>
        <item x="503"/>
        <item x="967"/>
        <item x="439"/>
        <item x="936"/>
        <item x="617"/>
        <item x="780"/>
        <item x="877"/>
        <item x="473"/>
        <item x="279"/>
        <item x="33"/>
        <item x="495"/>
        <item x="918"/>
        <item x="407"/>
        <item x="403"/>
        <item x="393"/>
        <item x="823"/>
        <item x="871"/>
        <item x="920"/>
        <item x="153"/>
        <item x="14"/>
        <item x="623"/>
        <item x="821"/>
        <item x="355"/>
        <item x="206"/>
        <item x="155"/>
        <item x="103"/>
        <item x="636"/>
        <item x="818"/>
        <item x="305"/>
        <item x="897"/>
        <item x="545"/>
        <item x="727"/>
        <item x="187"/>
        <item x="722"/>
        <item x="999"/>
        <item x="237"/>
        <item x="21"/>
        <item x="923"/>
        <item x="627"/>
        <item x="368"/>
        <item x="898"/>
        <item x="876"/>
        <item x="678"/>
        <item x="416"/>
        <item x="807"/>
        <item x="629"/>
        <item x="193"/>
        <item x="53"/>
        <item x="844"/>
        <item x="537"/>
        <item x="717"/>
        <item x="467"/>
        <item x="508"/>
        <item x="482"/>
        <item x="686"/>
        <item x="442"/>
        <item x="770"/>
        <item x="430"/>
        <item x="935"/>
        <item x="247"/>
        <item x="610"/>
        <item x="26"/>
        <item x="428"/>
        <item x="950"/>
        <item x="845"/>
        <item x="51"/>
        <item x="714"/>
        <item x="421"/>
        <item x="113"/>
        <item x="774"/>
        <item x="299"/>
        <item x="765"/>
        <item x="130"/>
        <item x="438"/>
        <item x="655"/>
        <item x="860"/>
        <item x="373"/>
        <item x="662"/>
        <item x="463"/>
        <item x="998"/>
        <item x="785"/>
        <item x="922"/>
        <item x="690"/>
        <item x="98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1">
    <field x="7"/>
  </rowFields>
  <rowItems count="5">
    <i>
      <x/>
    </i>
    <i>
      <x v="1"/>
    </i>
    <i>
      <x v="2"/>
    </i>
    <i>
      <x v="3"/>
    </i>
    <i t="grand">
      <x/>
    </i>
  </rowItems>
  <colFields count="1">
    <field x="-2"/>
  </colFields>
  <colItems count="2">
    <i>
      <x/>
    </i>
    <i i="1">
      <x v="1"/>
    </i>
  </colItems>
  <dataFields count="2">
    <dataField name="Sum of Price after discount" fld="15" baseField="0" baseItem="0" numFmtId="44"/>
    <dataField name="Sum of Total Amount after sale" fld="16" baseField="0" baseItem="0" numFmtId="44"/>
  </dataFields>
  <chartFormats count="2">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LOSS" xr10:uid="{DF4C8819-BC5C-4206-9175-6996EF3CE8E2}" sourceName="PROFIT/LOSS">
  <pivotTables>
    <pivotTable tabId="12" name="PivotTable1"/>
  </pivotTables>
  <data>
    <tabular pivotCacheId="21587312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LOSS" xr10:uid="{595B9113-571C-41E0-97E8-8E5496538E7B}" cache="Slicer_PROFIT_LOSS" caption="PROFIT/LOS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9E5FD7-FE81-4AB8-B4BC-EAC9DCE2D5F0}" name="Table1" displayName="Table1" ref="A1:S1001" totalsRowShown="0">
  <autoFilter ref="A1:S1001" xr:uid="{EB9E5FD7-FE81-4AB8-B4BC-EAC9DCE2D5F0}"/>
  <sortState xmlns:xlrd2="http://schemas.microsoft.com/office/spreadsheetml/2017/richdata2" ref="A2:S1001">
    <sortCondition ref="B1:B1001" customList="January,February,March,April,May,June,July,August,September,October,November,December"/>
  </sortState>
  <tableColumns count="19">
    <tableColumn id="1" xr3:uid="{2C6B6A92-F4D2-4902-9794-494369646020}" name="Product_ID"/>
    <tableColumn id="2" xr3:uid="{A9288C25-1DBC-4BAC-B46B-C3CE75EEC99C}" name="Sale_Date" dataDxfId="18" totalsRowDxfId="17"/>
    <tableColumn id="21" xr3:uid="{F5537F1C-128D-4B81-B94C-82B51041B1B6}" name="Month_Date" dataDxfId="16" totalsRowDxfId="15">
      <calculatedColumnFormula>DATE(YEAR(Table1[[#This Row],[Sale_Date]]), MONTH(Table1[[#This Row],[Sale_Date]]), 1)</calculatedColumnFormula>
    </tableColumn>
    <tableColumn id="3" xr3:uid="{3540501F-0DF3-4944-8DF9-53B327F3804A}" name="Sales_Rep"/>
    <tableColumn id="4" xr3:uid="{75657A36-CACE-4E1A-9D0D-3A444FDF40FA}" name="Region"/>
    <tableColumn id="5" xr3:uid="{3988FF4D-A050-4B50-A685-535BF594129A}" name="Sales_Amount" dataDxfId="14" totalsRowDxfId="13" dataCellStyle="Currency"/>
    <tableColumn id="6" xr3:uid="{F5278A73-6D86-4844-B0C3-1AAB8710DE6B}" name="Quantity_Sold"/>
    <tableColumn id="7" xr3:uid="{0966BE99-7275-4892-820C-699B60026754}" name="Product_Category"/>
    <tableColumn id="8" xr3:uid="{57204DF9-579E-4277-BF2F-2788FF57FC16}" name="Unit_Cost" dataDxfId="12" totalsRowDxfId="11" dataCellStyle="Currency"/>
    <tableColumn id="9" xr3:uid="{907756EF-92F1-4591-87E5-F599997C0937}" name="Unit_Price" dataDxfId="10" totalsRowDxfId="9" dataCellStyle="Currency"/>
    <tableColumn id="10" xr3:uid="{B4ADD26D-9A80-4DCE-91FB-5F7E6A72D1C6}" name="Customer_Type"/>
    <tableColumn id="11" xr3:uid="{DAF0A0F7-825C-451B-A44D-B7AFDE1FA9DA}" name="Discount" dataDxfId="8" totalsRowDxfId="7" dataCellStyle="Percent"/>
    <tableColumn id="12" xr3:uid="{FF799D94-4C3D-4A27-902A-AD66FD70D1BE}" name="Payment_Method"/>
    <tableColumn id="13" xr3:uid="{57C26341-8A35-4533-AE51-5607A58EE229}" name="Sales_Channel"/>
    <tableColumn id="14" xr3:uid="{F97BE753-2AAA-434F-8A94-ED0A300EC2F1}" name="Region_and_Sales_Rep"/>
    <tableColumn id="15" xr3:uid="{8E891D9C-D47A-4F35-90A9-94E35AE3FA9F}" name="Price after discount" dataDxfId="6" totalsRowDxfId="5">
      <calculatedColumnFormula xml:space="preserve"> J2 * (1 - L2) * G2</calculatedColumnFormula>
    </tableColumn>
    <tableColumn id="16" xr3:uid="{9717F125-D8F0-416B-AB30-90251F112B89}" name="Total Amount after sale" dataDxfId="4" totalsRowDxfId="3">
      <calculatedColumnFormula xml:space="preserve"> (J2 * (1 - L2) - I2) * G2</calculatedColumnFormula>
    </tableColumn>
    <tableColumn id="17" xr3:uid="{2107A03C-822F-4BC7-A4A9-28587662C4A1}" name="PROFIT/LOSS" dataDxfId="2">
      <calculatedColumnFormula>IF( Table1[[#This Row],[Total Amount after sale]] &gt; 0,"PROFIT","LOSS")</calculatedColumnFormula>
    </tableColumn>
    <tableColumn id="19" xr3:uid="{59454861-96CD-4D47-AAFB-32BBD41F5974}" name="Profit Margin %" dataCellStyle="Percent">
      <calculatedColumnFormula>(Table1[[#This Row],[Total Amount after sale]]/Table1[[#This Row],[Price after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28C6A-F182-4CFA-819B-208C2552A36B}">
  <sheetPr codeName="Sheet1"/>
  <dimension ref="A1:S1001"/>
  <sheetViews>
    <sheetView topLeftCell="H1" zoomScale="109" workbookViewId="0">
      <selection activeCell="O1002" sqref="O1002"/>
    </sheetView>
  </sheetViews>
  <sheetFormatPr defaultRowHeight="14.4" x14ac:dyDescent="0.3"/>
  <cols>
    <col min="1" max="1" width="12.33203125" customWidth="1"/>
    <col min="2" max="2" width="11.5546875" bestFit="1" customWidth="1"/>
    <col min="3" max="3" width="13.88671875" bestFit="1" customWidth="1"/>
    <col min="4" max="4" width="11.33203125" customWidth="1"/>
    <col min="5" max="5" width="8.6640625" customWidth="1"/>
    <col min="6" max="6" width="15.88671875" customWidth="1"/>
    <col min="7" max="7" width="14.88671875" customWidth="1"/>
    <col min="8" max="8" width="18.109375" customWidth="1"/>
    <col min="9" max="9" width="12" customWidth="1"/>
    <col min="10" max="10" width="12.44140625" customWidth="1"/>
    <col min="11" max="11" width="16.109375" customWidth="1"/>
    <col min="12" max="12" width="10.21875" customWidth="1"/>
    <col min="13" max="13" width="18.21875" customWidth="1"/>
    <col min="14" max="14" width="15" customWidth="1"/>
    <col min="15" max="15" width="22.33203125" customWidth="1"/>
    <col min="16" max="16" width="19.6640625" bestFit="1" customWidth="1"/>
    <col min="17" max="17" width="23.109375" bestFit="1" customWidth="1"/>
    <col min="18" max="18" width="14.33203125" customWidth="1"/>
    <col min="19" max="19" width="16.33203125" bestFit="1" customWidth="1"/>
  </cols>
  <sheetData>
    <row r="1" spans="1:19" x14ac:dyDescent="0.3">
      <c r="A1" t="s">
        <v>0</v>
      </c>
      <c r="B1" t="s">
        <v>1</v>
      </c>
      <c r="C1" t="s">
        <v>63</v>
      </c>
      <c r="D1" t="s">
        <v>2</v>
      </c>
      <c r="E1" t="s">
        <v>3</v>
      </c>
      <c r="F1" s="2" t="s">
        <v>4</v>
      </c>
      <c r="G1" t="s">
        <v>5</v>
      </c>
      <c r="H1" t="s">
        <v>6</v>
      </c>
      <c r="I1" s="2" t="s">
        <v>7</v>
      </c>
      <c r="J1" s="2" t="s">
        <v>8</v>
      </c>
      <c r="K1" t="s">
        <v>9</v>
      </c>
      <c r="L1" s="5" t="s">
        <v>10</v>
      </c>
      <c r="M1" t="s">
        <v>11</v>
      </c>
      <c r="N1" t="s">
        <v>12</v>
      </c>
      <c r="O1" t="s">
        <v>13</v>
      </c>
      <c r="P1" t="s">
        <v>54</v>
      </c>
      <c r="Q1" t="s">
        <v>57</v>
      </c>
      <c r="R1" t="s">
        <v>55</v>
      </c>
      <c r="S1" s="3" t="s">
        <v>56</v>
      </c>
    </row>
    <row r="2" spans="1:19" x14ac:dyDescent="0.3">
      <c r="A2">
        <v>1008</v>
      </c>
      <c r="B2" s="1">
        <v>44927</v>
      </c>
      <c r="C2" s="1">
        <f>DATE(YEAR(Table1[[#This Row],[Sale_Date]]), MONTH(Table1[[#This Row],[Sale_Date]]), 1)</f>
        <v>44927</v>
      </c>
      <c r="D2" t="s">
        <v>38</v>
      </c>
      <c r="E2" t="s">
        <v>15</v>
      </c>
      <c r="F2" s="2">
        <v>5227.8100000000004</v>
      </c>
      <c r="G2">
        <v>38</v>
      </c>
      <c r="H2" t="s">
        <v>29</v>
      </c>
      <c r="I2" s="2">
        <v>4635.2299999999996</v>
      </c>
      <c r="J2" s="2">
        <v>5075.4399999999996</v>
      </c>
      <c r="K2" t="s">
        <v>17</v>
      </c>
      <c r="L2" s="5">
        <v>0.05</v>
      </c>
      <c r="M2" t="s">
        <v>18</v>
      </c>
      <c r="N2" t="s">
        <v>19</v>
      </c>
      <c r="O2" t="s">
        <v>40</v>
      </c>
      <c r="P2" s="4">
        <f t="shared" ref="P2:P65" si="0" xml:space="preserve"> J2 * (1 - L2) * G2</f>
        <v>183223.38399999999</v>
      </c>
      <c r="Q2" s="4">
        <f t="shared" ref="Q2:Q65" si="1" xml:space="preserve"> (J2 * (1 - L2) - I2) * G2</f>
        <v>7084.6440000000039</v>
      </c>
      <c r="R2" t="str">
        <f>IF( Table1[[#This Row],[Total Amount after sale]] &gt; 0,"PROFIT","LOSS")</f>
        <v>PROFIT</v>
      </c>
      <c r="S2" s="3">
        <f>(Table1[[#This Row],[Total Amount after sale]]/Table1[[#This Row],[Price after discount]])</f>
        <v>3.8666702062439828E-2</v>
      </c>
    </row>
    <row r="3" spans="1:19" x14ac:dyDescent="0.3">
      <c r="A3">
        <v>1089</v>
      </c>
      <c r="B3" s="1">
        <v>44927</v>
      </c>
      <c r="C3" s="1">
        <f>DATE(YEAR(Table1[[#This Row],[Sale_Date]]), MONTH(Table1[[#This Row],[Sale_Date]]), 1)</f>
        <v>44927</v>
      </c>
      <c r="D3" t="s">
        <v>33</v>
      </c>
      <c r="E3" t="s">
        <v>15</v>
      </c>
      <c r="F3" s="2">
        <v>8130.13</v>
      </c>
      <c r="G3">
        <v>35</v>
      </c>
      <c r="H3" t="s">
        <v>29</v>
      </c>
      <c r="I3" s="2">
        <v>4071.01</v>
      </c>
      <c r="J3" s="2">
        <v>4304.7</v>
      </c>
      <c r="K3" t="s">
        <v>30</v>
      </c>
      <c r="L3" s="5">
        <v>0.14000000000000001</v>
      </c>
      <c r="M3" t="s">
        <v>31</v>
      </c>
      <c r="N3" t="s">
        <v>19</v>
      </c>
      <c r="O3" t="s">
        <v>53</v>
      </c>
      <c r="P3" s="4">
        <f t="shared" si="0"/>
        <v>129571.47</v>
      </c>
      <c r="Q3" s="4">
        <f t="shared" si="1"/>
        <v>-12913.88000000001</v>
      </c>
      <c r="R3" t="str">
        <f>IF( Table1[[#This Row],[Total Amount after sale]] &gt; 0,"PROFIT","LOSS")</f>
        <v>LOSS</v>
      </c>
      <c r="S3" s="3">
        <f>(Table1[[#This Row],[Total Amount after sale]]/Table1[[#This Row],[Price after discount]])</f>
        <v>-9.9666076181739782E-2</v>
      </c>
    </row>
    <row r="4" spans="1:19" x14ac:dyDescent="0.3">
      <c r="A4">
        <v>1070</v>
      </c>
      <c r="B4" s="1">
        <v>44927</v>
      </c>
      <c r="C4" s="1">
        <f>DATE(YEAR(Table1[[#This Row],[Sale_Date]]), MONTH(Table1[[#This Row],[Sale_Date]]), 1)</f>
        <v>44927</v>
      </c>
      <c r="D4" t="s">
        <v>38</v>
      </c>
      <c r="E4" t="s">
        <v>25</v>
      </c>
      <c r="F4" s="2">
        <v>783.18</v>
      </c>
      <c r="G4">
        <v>12</v>
      </c>
      <c r="H4" t="s">
        <v>16</v>
      </c>
      <c r="I4" s="2">
        <v>664.33</v>
      </c>
      <c r="J4" s="2">
        <v>863.03</v>
      </c>
      <c r="K4" t="s">
        <v>17</v>
      </c>
      <c r="L4" s="5">
        <v>0.25</v>
      </c>
      <c r="M4" t="s">
        <v>27</v>
      </c>
      <c r="N4" t="s">
        <v>22</v>
      </c>
      <c r="O4" t="s">
        <v>39</v>
      </c>
      <c r="P4" s="4">
        <f t="shared" si="0"/>
        <v>7767.27</v>
      </c>
      <c r="Q4" s="4">
        <f t="shared" si="1"/>
        <v>-204.69000000000005</v>
      </c>
      <c r="R4" t="str">
        <f>IF( Table1[[#This Row],[Total Amount after sale]] &gt; 0,"PROFIT","LOSS")</f>
        <v>LOSS</v>
      </c>
      <c r="S4" s="3">
        <f>(Table1[[#This Row],[Total Amount after sale]]/Table1[[#This Row],[Price after discount]])</f>
        <v>-2.6352888466604101E-2</v>
      </c>
    </row>
    <row r="5" spans="1:19" x14ac:dyDescent="0.3">
      <c r="A5">
        <v>1064</v>
      </c>
      <c r="B5" s="1">
        <v>44928</v>
      </c>
      <c r="C5" s="1">
        <f>DATE(YEAR(Table1[[#This Row],[Sale_Date]]), MONTH(Table1[[#This Row],[Sale_Date]]), 1)</f>
        <v>44927</v>
      </c>
      <c r="D5" t="s">
        <v>24</v>
      </c>
      <c r="E5" t="s">
        <v>25</v>
      </c>
      <c r="F5" s="2">
        <v>5533.7</v>
      </c>
      <c r="G5">
        <v>10</v>
      </c>
      <c r="H5" t="s">
        <v>35</v>
      </c>
      <c r="I5" s="2">
        <v>2242.0100000000002</v>
      </c>
      <c r="J5" s="2">
        <v>2282.23</v>
      </c>
      <c r="K5" t="s">
        <v>17</v>
      </c>
      <c r="L5" s="5">
        <v>0.2</v>
      </c>
      <c r="M5" t="s">
        <v>31</v>
      </c>
      <c r="N5" t="s">
        <v>19</v>
      </c>
      <c r="O5" t="s">
        <v>28</v>
      </c>
      <c r="P5" s="4">
        <f t="shared" si="0"/>
        <v>18257.84</v>
      </c>
      <c r="Q5" s="4">
        <f t="shared" si="1"/>
        <v>-4162.2600000000011</v>
      </c>
      <c r="R5" t="str">
        <f>IF( Table1[[#This Row],[Total Amount after sale]] &gt; 0,"PROFIT","LOSS")</f>
        <v>LOSS</v>
      </c>
      <c r="S5" s="3">
        <f>(Table1[[#This Row],[Total Amount after sale]]/Table1[[#This Row],[Price after discount]])</f>
        <v>-0.22797110720654803</v>
      </c>
    </row>
    <row r="6" spans="1:19" x14ac:dyDescent="0.3">
      <c r="A6">
        <v>1075</v>
      </c>
      <c r="B6" s="1">
        <v>44928</v>
      </c>
      <c r="C6" s="1">
        <f>DATE(YEAR(Table1[[#This Row],[Sale_Date]]), MONTH(Table1[[#This Row],[Sale_Date]]), 1)</f>
        <v>44927</v>
      </c>
      <c r="D6" t="s">
        <v>24</v>
      </c>
      <c r="E6" t="s">
        <v>21</v>
      </c>
      <c r="F6" s="2">
        <v>919.09</v>
      </c>
      <c r="G6">
        <v>26</v>
      </c>
      <c r="H6" t="s">
        <v>35</v>
      </c>
      <c r="I6" s="2">
        <v>4535.38</v>
      </c>
      <c r="J6" s="2">
        <v>4557.5600000000004</v>
      </c>
      <c r="K6" t="s">
        <v>30</v>
      </c>
      <c r="L6" s="5">
        <v>0</v>
      </c>
      <c r="M6" t="s">
        <v>31</v>
      </c>
      <c r="N6" t="s">
        <v>19</v>
      </c>
      <c r="O6" t="s">
        <v>47</v>
      </c>
      <c r="P6" s="4">
        <f t="shared" si="0"/>
        <v>118496.56000000001</v>
      </c>
      <c r="Q6" s="4">
        <f t="shared" si="1"/>
        <v>576.68000000000757</v>
      </c>
      <c r="R6" t="str">
        <f>IF( Table1[[#This Row],[Total Amount after sale]] &gt; 0,"PROFIT","LOSS")</f>
        <v>PROFIT</v>
      </c>
      <c r="S6" s="3">
        <f>(Table1[[#This Row],[Total Amount after sale]]/Table1[[#This Row],[Price after discount]])</f>
        <v>4.8666391665716496E-3</v>
      </c>
    </row>
    <row r="7" spans="1:19" x14ac:dyDescent="0.3">
      <c r="A7">
        <v>1099</v>
      </c>
      <c r="B7" s="1">
        <v>44929</v>
      </c>
      <c r="C7" s="1">
        <f>DATE(YEAR(Table1[[#This Row],[Sale_Date]]), MONTH(Table1[[#This Row],[Sale_Date]]), 1)</f>
        <v>44927</v>
      </c>
      <c r="D7" t="s">
        <v>14</v>
      </c>
      <c r="E7" t="s">
        <v>34</v>
      </c>
      <c r="F7" s="2">
        <v>5613.1</v>
      </c>
      <c r="G7">
        <v>31</v>
      </c>
      <c r="H7" t="s">
        <v>16</v>
      </c>
      <c r="I7" s="2">
        <v>4632.8500000000004</v>
      </c>
      <c r="J7" s="2">
        <v>4711.7</v>
      </c>
      <c r="K7" t="s">
        <v>30</v>
      </c>
      <c r="L7" s="5">
        <v>0.21</v>
      </c>
      <c r="M7" t="s">
        <v>18</v>
      </c>
      <c r="N7" t="s">
        <v>22</v>
      </c>
      <c r="O7" t="s">
        <v>46</v>
      </c>
      <c r="P7" s="4">
        <f t="shared" si="0"/>
        <v>115389.533</v>
      </c>
      <c r="Q7" s="4">
        <f t="shared" si="1"/>
        <v>-28228.817000000014</v>
      </c>
      <c r="R7" t="str">
        <f>IF( Table1[[#This Row],[Total Amount after sale]] &gt; 0,"PROFIT","LOSS")</f>
        <v>LOSS</v>
      </c>
      <c r="S7" s="3">
        <f>(Table1[[#This Row],[Total Amount after sale]]/Table1[[#This Row],[Price after discount]])</f>
        <v>-0.24463932096856666</v>
      </c>
    </row>
    <row r="8" spans="1:19" x14ac:dyDescent="0.3">
      <c r="A8">
        <v>1087</v>
      </c>
      <c r="B8" s="1">
        <v>44929</v>
      </c>
      <c r="C8" s="1">
        <f>DATE(YEAR(Table1[[#This Row],[Sale_Date]]), MONTH(Table1[[#This Row],[Sale_Date]]), 1)</f>
        <v>44927</v>
      </c>
      <c r="D8" t="s">
        <v>33</v>
      </c>
      <c r="E8" t="s">
        <v>34</v>
      </c>
      <c r="F8" s="2">
        <v>8057.76</v>
      </c>
      <c r="G8">
        <v>20</v>
      </c>
      <c r="H8" t="s">
        <v>16</v>
      </c>
      <c r="I8" s="2">
        <v>3625.94</v>
      </c>
      <c r="J8" s="2">
        <v>3880.53</v>
      </c>
      <c r="K8" t="s">
        <v>30</v>
      </c>
      <c r="L8" s="5">
        <v>0.24</v>
      </c>
      <c r="M8" t="s">
        <v>27</v>
      </c>
      <c r="N8" t="s">
        <v>19</v>
      </c>
      <c r="O8" t="s">
        <v>36</v>
      </c>
      <c r="P8" s="4">
        <f t="shared" si="0"/>
        <v>58984.055999999997</v>
      </c>
      <c r="Q8" s="4">
        <f t="shared" si="1"/>
        <v>-13534.744000000001</v>
      </c>
      <c r="R8" t="str">
        <f>IF( Table1[[#This Row],[Total Amount after sale]] &gt; 0,"PROFIT","LOSS")</f>
        <v>LOSS</v>
      </c>
      <c r="S8" s="3">
        <f>(Table1[[#This Row],[Total Amount after sale]]/Table1[[#This Row],[Price after discount]])</f>
        <v>-0.22946445052880055</v>
      </c>
    </row>
    <row r="9" spans="1:19" x14ac:dyDescent="0.3">
      <c r="A9">
        <v>1027</v>
      </c>
      <c r="B9" s="1">
        <v>44929</v>
      </c>
      <c r="C9" s="1">
        <f>DATE(YEAR(Table1[[#This Row],[Sale_Date]]), MONTH(Table1[[#This Row],[Sale_Date]]), 1)</f>
        <v>44927</v>
      </c>
      <c r="D9" t="s">
        <v>14</v>
      </c>
      <c r="E9" t="s">
        <v>34</v>
      </c>
      <c r="F9" s="2">
        <v>7648.22</v>
      </c>
      <c r="G9">
        <v>30</v>
      </c>
      <c r="H9" t="s">
        <v>16</v>
      </c>
      <c r="I9" s="2">
        <v>745.93</v>
      </c>
      <c r="J9" s="2">
        <v>1143.02</v>
      </c>
      <c r="K9" t="s">
        <v>17</v>
      </c>
      <c r="L9" s="5">
        <v>0.2</v>
      </c>
      <c r="M9" t="s">
        <v>31</v>
      </c>
      <c r="N9" t="s">
        <v>19</v>
      </c>
      <c r="O9" t="s">
        <v>46</v>
      </c>
      <c r="P9" s="4">
        <f t="shared" si="0"/>
        <v>27432.480000000003</v>
      </c>
      <c r="Q9" s="4">
        <f t="shared" si="1"/>
        <v>5054.5800000000036</v>
      </c>
      <c r="R9" t="str">
        <f>IF( Table1[[#This Row],[Total Amount after sale]] &gt; 0,"PROFIT","LOSS")</f>
        <v>PROFIT</v>
      </c>
      <c r="S9" s="3">
        <f>(Table1[[#This Row],[Total Amount after sale]]/Table1[[#This Row],[Price after discount]])</f>
        <v>0.18425530611887816</v>
      </c>
    </row>
    <row r="10" spans="1:19" x14ac:dyDescent="0.3">
      <c r="A10">
        <v>1064</v>
      </c>
      <c r="B10" s="1">
        <v>44930</v>
      </c>
      <c r="C10" s="1">
        <f>DATE(YEAR(Table1[[#This Row],[Sale_Date]]), MONTH(Table1[[#This Row],[Sale_Date]]), 1)</f>
        <v>44927</v>
      </c>
      <c r="D10" t="s">
        <v>38</v>
      </c>
      <c r="E10" t="s">
        <v>34</v>
      </c>
      <c r="F10" s="2">
        <v>7412.11</v>
      </c>
      <c r="G10">
        <v>10</v>
      </c>
      <c r="H10" t="s">
        <v>35</v>
      </c>
      <c r="I10" s="2">
        <v>4764.96</v>
      </c>
      <c r="J10" s="2">
        <v>5074.42</v>
      </c>
      <c r="K10" t="s">
        <v>30</v>
      </c>
      <c r="L10" s="5">
        <v>0.12</v>
      </c>
      <c r="M10" t="s">
        <v>18</v>
      </c>
      <c r="N10" t="s">
        <v>19</v>
      </c>
      <c r="O10" t="s">
        <v>48</v>
      </c>
      <c r="P10" s="4">
        <f t="shared" si="0"/>
        <v>44654.896000000001</v>
      </c>
      <c r="Q10" s="4">
        <f t="shared" si="1"/>
        <v>-2994.7040000000015</v>
      </c>
      <c r="R10" t="str">
        <f>IF( Table1[[#This Row],[Total Amount after sale]] &gt; 0,"PROFIT","LOSS")</f>
        <v>LOSS</v>
      </c>
      <c r="S10" s="3">
        <f>(Table1[[#This Row],[Total Amount after sale]]/Table1[[#This Row],[Price after discount]])</f>
        <v>-6.7063284617211991E-2</v>
      </c>
    </row>
    <row r="11" spans="1:19" x14ac:dyDescent="0.3">
      <c r="A11">
        <v>1051</v>
      </c>
      <c r="B11" s="1">
        <v>44930</v>
      </c>
      <c r="C11" s="1">
        <f>DATE(YEAR(Table1[[#This Row],[Sale_Date]]), MONTH(Table1[[#This Row],[Sale_Date]]), 1)</f>
        <v>44927</v>
      </c>
      <c r="D11" t="s">
        <v>38</v>
      </c>
      <c r="E11" t="s">
        <v>15</v>
      </c>
      <c r="F11" s="2">
        <v>4979.3599999999997</v>
      </c>
      <c r="G11">
        <v>14</v>
      </c>
      <c r="H11" t="s">
        <v>35</v>
      </c>
      <c r="I11" s="2">
        <v>3686.81</v>
      </c>
      <c r="J11" s="2">
        <v>3710.92</v>
      </c>
      <c r="K11" t="s">
        <v>30</v>
      </c>
      <c r="L11" s="5">
        <v>0.1</v>
      </c>
      <c r="M11" t="s">
        <v>27</v>
      </c>
      <c r="N11" t="s">
        <v>22</v>
      </c>
      <c r="O11" t="s">
        <v>40</v>
      </c>
      <c r="P11" s="4">
        <f t="shared" si="0"/>
        <v>46757.591999999997</v>
      </c>
      <c r="Q11" s="4">
        <f t="shared" si="1"/>
        <v>-4857.7479999999996</v>
      </c>
      <c r="R11" t="str">
        <f>IF( Table1[[#This Row],[Total Amount after sale]] &gt; 0,"PROFIT","LOSS")</f>
        <v>LOSS</v>
      </c>
      <c r="S11" s="3">
        <f>(Table1[[#This Row],[Total Amount after sale]]/Table1[[#This Row],[Price after discount]])</f>
        <v>-0.10389217648333986</v>
      </c>
    </row>
    <row r="12" spans="1:19" x14ac:dyDescent="0.3">
      <c r="A12">
        <v>1002</v>
      </c>
      <c r="B12" s="1">
        <v>44930</v>
      </c>
      <c r="C12" s="1">
        <f>DATE(YEAR(Table1[[#This Row],[Sale_Date]]), MONTH(Table1[[#This Row],[Sale_Date]]), 1)</f>
        <v>44927</v>
      </c>
      <c r="D12" t="s">
        <v>14</v>
      </c>
      <c r="E12" t="s">
        <v>34</v>
      </c>
      <c r="F12" s="2">
        <v>2716.34</v>
      </c>
      <c r="G12">
        <v>17</v>
      </c>
      <c r="H12" t="s">
        <v>16</v>
      </c>
      <c r="I12" s="2">
        <v>1727.12</v>
      </c>
      <c r="J12" s="2">
        <v>1865.83</v>
      </c>
      <c r="K12" t="s">
        <v>30</v>
      </c>
      <c r="L12" s="5">
        <v>0.21</v>
      </c>
      <c r="M12" t="s">
        <v>18</v>
      </c>
      <c r="N12" t="s">
        <v>19</v>
      </c>
      <c r="O12" t="s">
        <v>46</v>
      </c>
      <c r="P12" s="4">
        <f t="shared" si="0"/>
        <v>25058.0969</v>
      </c>
      <c r="Q12" s="4">
        <f t="shared" si="1"/>
        <v>-4302.9430999999995</v>
      </c>
      <c r="R12" t="str">
        <f>IF( Table1[[#This Row],[Total Amount after sale]] &gt; 0,"PROFIT","LOSS")</f>
        <v>LOSS</v>
      </c>
      <c r="S12" s="3">
        <f>(Table1[[#This Row],[Total Amount after sale]]/Table1[[#This Row],[Price after discount]])</f>
        <v>-0.17171867110147537</v>
      </c>
    </row>
    <row r="13" spans="1:19" x14ac:dyDescent="0.3">
      <c r="A13">
        <v>1074</v>
      </c>
      <c r="B13" s="1">
        <v>44930</v>
      </c>
      <c r="C13" s="1">
        <f>DATE(YEAR(Table1[[#This Row],[Sale_Date]]), MONTH(Table1[[#This Row],[Sale_Date]]), 1)</f>
        <v>44927</v>
      </c>
      <c r="D13" t="s">
        <v>38</v>
      </c>
      <c r="E13" t="s">
        <v>25</v>
      </c>
      <c r="F13" s="2">
        <v>7508.72</v>
      </c>
      <c r="G13">
        <v>38</v>
      </c>
      <c r="H13" t="s">
        <v>16</v>
      </c>
      <c r="I13" s="2">
        <v>1394.74</v>
      </c>
      <c r="J13" s="2">
        <v>1848.69</v>
      </c>
      <c r="K13" t="s">
        <v>17</v>
      </c>
      <c r="L13" s="5">
        <v>0</v>
      </c>
      <c r="M13" t="s">
        <v>27</v>
      </c>
      <c r="N13" t="s">
        <v>22</v>
      </c>
      <c r="O13" t="s">
        <v>39</v>
      </c>
      <c r="P13" s="4">
        <f t="shared" si="0"/>
        <v>70250.22</v>
      </c>
      <c r="Q13" s="4">
        <f t="shared" si="1"/>
        <v>17250.100000000002</v>
      </c>
      <c r="R13" t="str">
        <f>IF( Table1[[#This Row],[Total Amount after sale]] &gt; 0,"PROFIT","LOSS")</f>
        <v>PROFIT</v>
      </c>
      <c r="S13" s="3">
        <f>(Table1[[#This Row],[Total Amount after sale]]/Table1[[#This Row],[Price after discount]])</f>
        <v>0.24555225592176083</v>
      </c>
    </row>
    <row r="14" spans="1:19" x14ac:dyDescent="0.3">
      <c r="A14">
        <v>1086</v>
      </c>
      <c r="B14" s="1">
        <v>44930</v>
      </c>
      <c r="C14" s="1">
        <f>DATE(YEAR(Table1[[#This Row],[Sale_Date]]), MONTH(Table1[[#This Row],[Sale_Date]]), 1)</f>
        <v>44927</v>
      </c>
      <c r="D14" t="s">
        <v>14</v>
      </c>
      <c r="E14" t="s">
        <v>25</v>
      </c>
      <c r="F14" s="2">
        <v>6530.14</v>
      </c>
      <c r="G14">
        <v>8</v>
      </c>
      <c r="H14" t="s">
        <v>16</v>
      </c>
      <c r="I14" s="2">
        <v>1569.31</v>
      </c>
      <c r="J14" s="2">
        <v>1798.02</v>
      </c>
      <c r="K14" t="s">
        <v>30</v>
      </c>
      <c r="L14" s="5">
        <v>7.0000000000000007E-2</v>
      </c>
      <c r="M14" t="s">
        <v>31</v>
      </c>
      <c r="N14" t="s">
        <v>19</v>
      </c>
      <c r="O14" t="s">
        <v>32</v>
      </c>
      <c r="P14" s="4">
        <f t="shared" si="0"/>
        <v>13377.2688</v>
      </c>
      <c r="Q14" s="4">
        <f t="shared" si="1"/>
        <v>822.78880000000026</v>
      </c>
      <c r="R14" t="str">
        <f>IF( Table1[[#This Row],[Total Amount after sale]] &gt; 0,"PROFIT","LOSS")</f>
        <v>PROFIT</v>
      </c>
      <c r="S14" s="3">
        <f>(Table1[[#This Row],[Total Amount after sale]]/Table1[[#This Row],[Price after discount]])</f>
        <v>6.1506486286647712E-2</v>
      </c>
    </row>
    <row r="15" spans="1:19" x14ac:dyDescent="0.3">
      <c r="A15">
        <v>1090</v>
      </c>
      <c r="B15" s="1">
        <v>44930</v>
      </c>
      <c r="C15" s="1">
        <f>DATE(YEAR(Table1[[#This Row],[Sale_Date]]), MONTH(Table1[[#This Row],[Sale_Date]]), 1)</f>
        <v>44927</v>
      </c>
      <c r="D15" t="s">
        <v>38</v>
      </c>
      <c r="E15" t="s">
        <v>15</v>
      </c>
      <c r="F15" s="2">
        <v>1028.3900000000001</v>
      </c>
      <c r="G15">
        <v>14</v>
      </c>
      <c r="H15" t="s">
        <v>16</v>
      </c>
      <c r="I15" s="2">
        <v>4037.21</v>
      </c>
      <c r="J15" s="2">
        <v>4323.71</v>
      </c>
      <c r="K15" t="s">
        <v>17</v>
      </c>
      <c r="L15" s="5">
        <v>0.27</v>
      </c>
      <c r="M15" t="s">
        <v>31</v>
      </c>
      <c r="N15" t="s">
        <v>19</v>
      </c>
      <c r="O15" t="s">
        <v>40</v>
      </c>
      <c r="P15" s="4">
        <f t="shared" si="0"/>
        <v>44188.316200000001</v>
      </c>
      <c r="Q15" s="4">
        <f t="shared" si="1"/>
        <v>-12332.623799999998</v>
      </c>
      <c r="R15" t="str">
        <f>IF( Table1[[#This Row],[Total Amount after sale]] &gt; 0,"PROFIT","LOSS")</f>
        <v>LOSS</v>
      </c>
      <c r="S15" s="3">
        <f>(Table1[[#This Row],[Total Amount after sale]]/Table1[[#This Row],[Price after discount]])</f>
        <v>-0.27909241312073341</v>
      </c>
    </row>
    <row r="16" spans="1:19" x14ac:dyDescent="0.3">
      <c r="A16">
        <v>1081</v>
      </c>
      <c r="B16" s="1">
        <v>44931</v>
      </c>
      <c r="C16" s="1">
        <f>DATE(YEAR(Table1[[#This Row],[Sale_Date]]), MONTH(Table1[[#This Row],[Sale_Date]]), 1)</f>
        <v>44927</v>
      </c>
      <c r="D16" t="s">
        <v>14</v>
      </c>
      <c r="E16" t="s">
        <v>25</v>
      </c>
      <c r="F16" s="2">
        <v>1429.32</v>
      </c>
      <c r="G16">
        <v>44</v>
      </c>
      <c r="H16" t="s">
        <v>26</v>
      </c>
      <c r="I16" s="2">
        <v>618.79</v>
      </c>
      <c r="J16" s="2">
        <v>938.04</v>
      </c>
      <c r="K16" t="s">
        <v>17</v>
      </c>
      <c r="L16" s="5">
        <v>0.03</v>
      </c>
      <c r="M16" t="s">
        <v>18</v>
      </c>
      <c r="N16" t="s">
        <v>19</v>
      </c>
      <c r="O16" t="s">
        <v>32</v>
      </c>
      <c r="P16" s="4">
        <f t="shared" si="0"/>
        <v>40035.547200000001</v>
      </c>
      <c r="Q16" s="4">
        <f t="shared" si="1"/>
        <v>12808.787199999999</v>
      </c>
      <c r="R16" t="str">
        <f>IF( Table1[[#This Row],[Total Amount after sale]] &gt; 0,"PROFIT","LOSS")</f>
        <v>PROFIT</v>
      </c>
      <c r="S16" s="3">
        <f>(Table1[[#This Row],[Total Amount after sale]]/Table1[[#This Row],[Price after discount]])</f>
        <v>0.31993535984441346</v>
      </c>
    </row>
    <row r="17" spans="1:19" x14ac:dyDescent="0.3">
      <c r="A17">
        <v>1023</v>
      </c>
      <c r="B17" s="1">
        <v>44931</v>
      </c>
      <c r="C17" s="1">
        <f>DATE(YEAR(Table1[[#This Row],[Sale_Date]]), MONTH(Table1[[#This Row],[Sale_Date]]), 1)</f>
        <v>44927</v>
      </c>
      <c r="D17" t="s">
        <v>42</v>
      </c>
      <c r="E17" t="s">
        <v>34</v>
      </c>
      <c r="F17" s="2">
        <v>6442.09</v>
      </c>
      <c r="G17">
        <v>2</v>
      </c>
      <c r="H17" t="s">
        <v>29</v>
      </c>
      <c r="I17" s="2">
        <v>575.32000000000005</v>
      </c>
      <c r="J17" s="2">
        <v>914.77</v>
      </c>
      <c r="K17" t="s">
        <v>17</v>
      </c>
      <c r="L17" s="5">
        <v>0.26</v>
      </c>
      <c r="M17" t="s">
        <v>27</v>
      </c>
      <c r="N17" t="s">
        <v>19</v>
      </c>
      <c r="O17" t="s">
        <v>52</v>
      </c>
      <c r="P17" s="4">
        <f t="shared" si="0"/>
        <v>1353.8596</v>
      </c>
      <c r="Q17" s="4">
        <f t="shared" si="1"/>
        <v>203.2195999999999</v>
      </c>
      <c r="R17" t="str">
        <f>IF( Table1[[#This Row],[Total Amount after sale]] &gt; 0,"PROFIT","LOSS")</f>
        <v>PROFIT</v>
      </c>
      <c r="S17" s="3">
        <f>(Table1[[#This Row],[Total Amount after sale]]/Table1[[#This Row],[Price after discount]])</f>
        <v>0.15010389555903722</v>
      </c>
    </row>
    <row r="18" spans="1:19" x14ac:dyDescent="0.3">
      <c r="A18">
        <v>1052</v>
      </c>
      <c r="B18" s="1">
        <v>44931</v>
      </c>
      <c r="C18" s="1">
        <f>DATE(YEAR(Table1[[#This Row],[Sale_Date]]), MONTH(Table1[[#This Row],[Sale_Date]]), 1)</f>
        <v>44927</v>
      </c>
      <c r="D18" t="s">
        <v>14</v>
      </c>
      <c r="E18" t="s">
        <v>15</v>
      </c>
      <c r="F18" s="2">
        <v>8837.34</v>
      </c>
      <c r="G18">
        <v>11</v>
      </c>
      <c r="H18" t="s">
        <v>29</v>
      </c>
      <c r="I18" s="2">
        <v>3451.59</v>
      </c>
      <c r="J18" s="2">
        <v>3929.26</v>
      </c>
      <c r="K18" t="s">
        <v>30</v>
      </c>
      <c r="L18" s="5">
        <v>0.3</v>
      </c>
      <c r="M18" t="s">
        <v>31</v>
      </c>
      <c r="N18" t="s">
        <v>22</v>
      </c>
      <c r="O18" t="s">
        <v>20</v>
      </c>
      <c r="P18" s="4">
        <f t="shared" si="0"/>
        <v>30255.302</v>
      </c>
      <c r="Q18" s="4">
        <f t="shared" si="1"/>
        <v>-7712.1880000000019</v>
      </c>
      <c r="R18" t="str">
        <f>IF( Table1[[#This Row],[Total Amount after sale]] &gt; 0,"PROFIT","LOSS")</f>
        <v>LOSS</v>
      </c>
      <c r="S18" s="3">
        <f>(Table1[[#This Row],[Total Amount after sale]]/Table1[[#This Row],[Price after discount]])</f>
        <v>-0.25490368597213148</v>
      </c>
    </row>
    <row r="19" spans="1:19" x14ac:dyDescent="0.3">
      <c r="A19">
        <v>1087</v>
      </c>
      <c r="B19" s="1">
        <v>44932</v>
      </c>
      <c r="C19" s="1">
        <f>DATE(YEAR(Table1[[#This Row],[Sale_Date]]), MONTH(Table1[[#This Row],[Sale_Date]]), 1)</f>
        <v>44927</v>
      </c>
      <c r="D19" t="s">
        <v>38</v>
      </c>
      <c r="E19" t="s">
        <v>25</v>
      </c>
      <c r="F19" s="2">
        <v>7698.92</v>
      </c>
      <c r="G19">
        <v>46</v>
      </c>
      <c r="H19" t="s">
        <v>16</v>
      </c>
      <c r="I19" s="2">
        <v>3702.51</v>
      </c>
      <c r="J19" s="2">
        <v>3964.65</v>
      </c>
      <c r="K19" t="s">
        <v>30</v>
      </c>
      <c r="L19" s="5">
        <v>0.12</v>
      </c>
      <c r="M19" t="s">
        <v>27</v>
      </c>
      <c r="N19" t="s">
        <v>19</v>
      </c>
      <c r="O19" t="s">
        <v>39</v>
      </c>
      <c r="P19" s="4">
        <f t="shared" si="0"/>
        <v>160489.03200000001</v>
      </c>
      <c r="Q19" s="4">
        <f t="shared" si="1"/>
        <v>-9826.4279999999962</v>
      </c>
      <c r="R19" t="str">
        <f>IF( Table1[[#This Row],[Total Amount after sale]] &gt; 0,"PROFIT","LOSS")</f>
        <v>LOSS</v>
      </c>
      <c r="S19" s="3">
        <f>(Table1[[#This Row],[Total Amount after sale]]/Table1[[#This Row],[Price after discount]])</f>
        <v>-6.1228034573727108E-2</v>
      </c>
    </row>
    <row r="20" spans="1:19" x14ac:dyDescent="0.3">
      <c r="A20">
        <v>1062</v>
      </c>
      <c r="B20" s="1">
        <v>44932</v>
      </c>
      <c r="C20" s="1">
        <f>DATE(YEAR(Table1[[#This Row],[Sale_Date]]), MONTH(Table1[[#This Row],[Sale_Date]]), 1)</f>
        <v>44927</v>
      </c>
      <c r="D20" t="s">
        <v>38</v>
      </c>
      <c r="E20" t="s">
        <v>34</v>
      </c>
      <c r="F20" s="2">
        <v>3439.72</v>
      </c>
      <c r="G20">
        <v>15</v>
      </c>
      <c r="H20" t="s">
        <v>29</v>
      </c>
      <c r="I20" s="2">
        <v>4756.55</v>
      </c>
      <c r="J20" s="2">
        <v>4888.46</v>
      </c>
      <c r="K20" t="s">
        <v>30</v>
      </c>
      <c r="L20" s="5">
        <v>0.28999999999999998</v>
      </c>
      <c r="M20" t="s">
        <v>31</v>
      </c>
      <c r="N20" t="s">
        <v>19</v>
      </c>
      <c r="O20" t="s">
        <v>48</v>
      </c>
      <c r="P20" s="4">
        <f t="shared" si="0"/>
        <v>52062.099000000002</v>
      </c>
      <c r="Q20" s="4">
        <f t="shared" si="1"/>
        <v>-19286.151000000005</v>
      </c>
      <c r="R20" t="str">
        <f>IF( Table1[[#This Row],[Total Amount after sale]] &gt; 0,"PROFIT","LOSS")</f>
        <v>LOSS</v>
      </c>
      <c r="S20" s="3">
        <f>(Table1[[#This Row],[Total Amount after sale]]/Table1[[#This Row],[Price after discount]])</f>
        <v>-0.37044512938289337</v>
      </c>
    </row>
    <row r="21" spans="1:19" x14ac:dyDescent="0.3">
      <c r="A21">
        <v>1021</v>
      </c>
      <c r="B21" s="1">
        <v>44933</v>
      </c>
      <c r="C21" s="1">
        <f>DATE(YEAR(Table1[[#This Row],[Sale_Date]]), MONTH(Table1[[#This Row],[Sale_Date]]), 1)</f>
        <v>44927</v>
      </c>
      <c r="D21" t="s">
        <v>14</v>
      </c>
      <c r="E21" t="s">
        <v>15</v>
      </c>
      <c r="F21" s="2">
        <v>2971.45</v>
      </c>
      <c r="G21">
        <v>9</v>
      </c>
      <c r="H21" t="s">
        <v>16</v>
      </c>
      <c r="I21" s="2">
        <v>3365.28</v>
      </c>
      <c r="J21" s="2">
        <v>3730.43</v>
      </c>
      <c r="K21" t="s">
        <v>30</v>
      </c>
      <c r="L21" s="5">
        <v>0.17</v>
      </c>
      <c r="M21" t="s">
        <v>27</v>
      </c>
      <c r="N21" t="s">
        <v>19</v>
      </c>
      <c r="O21" t="s">
        <v>20</v>
      </c>
      <c r="P21" s="4">
        <f t="shared" si="0"/>
        <v>27866.312099999999</v>
      </c>
      <c r="Q21" s="4">
        <f t="shared" si="1"/>
        <v>-2421.2079000000031</v>
      </c>
      <c r="R21" t="str">
        <f>IF( Table1[[#This Row],[Total Amount after sale]] &gt; 0,"PROFIT","LOSS")</f>
        <v>LOSS</v>
      </c>
      <c r="S21" s="3">
        <f>(Table1[[#This Row],[Total Amount after sale]]/Table1[[#This Row],[Price after discount]])</f>
        <v>-8.6886556474044627E-2</v>
      </c>
    </row>
    <row r="22" spans="1:19" x14ac:dyDescent="0.3">
      <c r="A22">
        <v>1069</v>
      </c>
      <c r="B22" s="1">
        <v>44933</v>
      </c>
      <c r="C22" s="1">
        <f>DATE(YEAR(Table1[[#This Row],[Sale_Date]]), MONTH(Table1[[#This Row],[Sale_Date]]), 1)</f>
        <v>44927</v>
      </c>
      <c r="D22" t="s">
        <v>42</v>
      </c>
      <c r="E22" t="s">
        <v>34</v>
      </c>
      <c r="F22" s="2">
        <v>2574.5700000000002</v>
      </c>
      <c r="G22">
        <v>6</v>
      </c>
      <c r="H22" t="s">
        <v>26</v>
      </c>
      <c r="I22" s="2">
        <v>1768.6</v>
      </c>
      <c r="J22" s="2">
        <v>2152.1999999999998</v>
      </c>
      <c r="K22" t="s">
        <v>30</v>
      </c>
      <c r="L22" s="5">
        <v>0.25</v>
      </c>
      <c r="M22" t="s">
        <v>27</v>
      </c>
      <c r="N22" t="s">
        <v>22</v>
      </c>
      <c r="O22" t="s">
        <v>52</v>
      </c>
      <c r="P22" s="4">
        <f t="shared" si="0"/>
        <v>9684.9</v>
      </c>
      <c r="Q22" s="4">
        <f t="shared" si="1"/>
        <v>-926.70000000000027</v>
      </c>
      <c r="R22" t="str">
        <f>IF( Table1[[#This Row],[Total Amount after sale]] &gt; 0,"PROFIT","LOSS")</f>
        <v>LOSS</v>
      </c>
      <c r="S22" s="3">
        <f>(Table1[[#This Row],[Total Amount after sale]]/Table1[[#This Row],[Price after discount]])</f>
        <v>-9.5685035467583585E-2</v>
      </c>
    </row>
    <row r="23" spans="1:19" x14ac:dyDescent="0.3">
      <c r="A23">
        <v>1085</v>
      </c>
      <c r="B23" s="1">
        <v>44933</v>
      </c>
      <c r="C23" s="1">
        <f>DATE(YEAR(Table1[[#This Row],[Sale_Date]]), MONTH(Table1[[#This Row],[Sale_Date]]), 1)</f>
        <v>44927</v>
      </c>
      <c r="D23" t="s">
        <v>38</v>
      </c>
      <c r="E23" t="s">
        <v>21</v>
      </c>
      <c r="F23" s="2">
        <v>2719.89</v>
      </c>
      <c r="G23">
        <v>16</v>
      </c>
      <c r="H23" t="s">
        <v>26</v>
      </c>
      <c r="I23" s="2">
        <v>472.08</v>
      </c>
      <c r="J23" s="2">
        <v>842.46</v>
      </c>
      <c r="K23" t="s">
        <v>30</v>
      </c>
      <c r="L23" s="5">
        <v>0</v>
      </c>
      <c r="M23" t="s">
        <v>18</v>
      </c>
      <c r="N23" t="s">
        <v>22</v>
      </c>
      <c r="O23" t="s">
        <v>41</v>
      </c>
      <c r="P23" s="4">
        <f t="shared" si="0"/>
        <v>13479.36</v>
      </c>
      <c r="Q23" s="4">
        <f t="shared" si="1"/>
        <v>5926.0800000000008</v>
      </c>
      <c r="R23" t="str">
        <f>IF( Table1[[#This Row],[Total Amount after sale]] &gt; 0,"PROFIT","LOSS")</f>
        <v>PROFIT</v>
      </c>
      <c r="S23" s="3">
        <f>(Table1[[#This Row],[Total Amount after sale]]/Table1[[#This Row],[Price after discount]])</f>
        <v>0.439641051207179</v>
      </c>
    </row>
    <row r="24" spans="1:19" x14ac:dyDescent="0.3">
      <c r="A24">
        <v>1065</v>
      </c>
      <c r="B24" s="1">
        <v>44933</v>
      </c>
      <c r="C24" s="1">
        <f>DATE(YEAR(Table1[[#This Row],[Sale_Date]]), MONTH(Table1[[#This Row],[Sale_Date]]), 1)</f>
        <v>44927</v>
      </c>
      <c r="D24" t="s">
        <v>38</v>
      </c>
      <c r="E24" t="s">
        <v>15</v>
      </c>
      <c r="F24" s="2">
        <v>2365.87</v>
      </c>
      <c r="G24">
        <v>6</v>
      </c>
      <c r="H24" t="s">
        <v>29</v>
      </c>
      <c r="I24" s="2">
        <v>2019.9</v>
      </c>
      <c r="J24" s="2">
        <v>2116.7399999999998</v>
      </c>
      <c r="K24" t="s">
        <v>30</v>
      </c>
      <c r="L24" s="5">
        <v>0.11</v>
      </c>
      <c r="M24" t="s">
        <v>31</v>
      </c>
      <c r="N24" t="s">
        <v>19</v>
      </c>
      <c r="O24" t="s">
        <v>40</v>
      </c>
      <c r="P24" s="4">
        <f t="shared" si="0"/>
        <v>11303.391599999999</v>
      </c>
      <c r="Q24" s="4">
        <f t="shared" si="1"/>
        <v>-816.00840000000198</v>
      </c>
      <c r="R24" t="str">
        <f>IF( Table1[[#This Row],[Total Amount after sale]] &gt; 0,"PROFIT","LOSS")</f>
        <v>LOSS</v>
      </c>
      <c r="S24" s="3">
        <f>(Table1[[#This Row],[Total Amount after sale]]/Table1[[#This Row],[Price after discount]])</f>
        <v>-7.2191465082038039E-2</v>
      </c>
    </row>
    <row r="25" spans="1:19" x14ac:dyDescent="0.3">
      <c r="A25">
        <v>1034</v>
      </c>
      <c r="B25" s="1">
        <v>44933</v>
      </c>
      <c r="C25" s="1">
        <f>DATE(YEAR(Table1[[#This Row],[Sale_Date]]), MONTH(Table1[[#This Row],[Sale_Date]]), 1)</f>
        <v>44927</v>
      </c>
      <c r="D25" t="s">
        <v>24</v>
      </c>
      <c r="E25" t="s">
        <v>21</v>
      </c>
      <c r="F25" s="2">
        <v>3677.9</v>
      </c>
      <c r="G25">
        <v>28</v>
      </c>
      <c r="H25" t="s">
        <v>16</v>
      </c>
      <c r="I25" s="2">
        <v>137.47</v>
      </c>
      <c r="J25" s="2">
        <v>234.63</v>
      </c>
      <c r="K25" t="s">
        <v>30</v>
      </c>
      <c r="L25" s="5">
        <v>0.27</v>
      </c>
      <c r="M25" t="s">
        <v>27</v>
      </c>
      <c r="N25" t="s">
        <v>22</v>
      </c>
      <c r="O25" t="s">
        <v>47</v>
      </c>
      <c r="P25" s="4">
        <f t="shared" si="0"/>
        <v>4795.8371999999999</v>
      </c>
      <c r="Q25" s="4">
        <f t="shared" si="1"/>
        <v>946.67719999999997</v>
      </c>
      <c r="R25" t="str">
        <f>IF( Table1[[#This Row],[Total Amount after sale]] &gt; 0,"PROFIT","LOSS")</f>
        <v>PROFIT</v>
      </c>
      <c r="S25" s="3">
        <f>(Table1[[#This Row],[Total Amount after sale]]/Table1[[#This Row],[Price after discount]])</f>
        <v>0.19739560800771136</v>
      </c>
    </row>
    <row r="26" spans="1:19" x14ac:dyDescent="0.3">
      <c r="A26">
        <v>1041</v>
      </c>
      <c r="B26" s="1">
        <v>44934</v>
      </c>
      <c r="C26" s="1">
        <f>DATE(YEAR(Table1[[#This Row],[Sale_Date]]), MONTH(Table1[[#This Row],[Sale_Date]]), 1)</f>
        <v>44927</v>
      </c>
      <c r="D26" t="s">
        <v>24</v>
      </c>
      <c r="E26" t="s">
        <v>34</v>
      </c>
      <c r="F26" s="2">
        <v>1714.05</v>
      </c>
      <c r="G26">
        <v>36</v>
      </c>
      <c r="H26" t="s">
        <v>26</v>
      </c>
      <c r="I26" s="2">
        <v>864.77</v>
      </c>
      <c r="J26" s="2">
        <v>1170.1599999999901</v>
      </c>
      <c r="K26" t="s">
        <v>17</v>
      </c>
      <c r="L26" s="5">
        <v>0.11</v>
      </c>
      <c r="M26" t="s">
        <v>18</v>
      </c>
      <c r="N26" t="s">
        <v>22</v>
      </c>
      <c r="O26" t="s">
        <v>50</v>
      </c>
      <c r="P26" s="4">
        <f t="shared" si="0"/>
        <v>37491.926399999684</v>
      </c>
      <c r="Q26" s="4">
        <f t="shared" si="1"/>
        <v>6360.2063999996863</v>
      </c>
      <c r="R26" t="str">
        <f>IF( Table1[[#This Row],[Total Amount after sale]] &gt; 0,"PROFIT","LOSS")</f>
        <v>PROFIT</v>
      </c>
      <c r="S26" s="3">
        <f>(Table1[[#This Row],[Total Amount after sale]]/Table1[[#This Row],[Price after discount]])</f>
        <v>0.16964202724989186</v>
      </c>
    </row>
    <row r="27" spans="1:19" x14ac:dyDescent="0.3">
      <c r="A27">
        <v>1039</v>
      </c>
      <c r="B27" s="1">
        <v>44934</v>
      </c>
      <c r="C27" s="1">
        <f>DATE(YEAR(Table1[[#This Row],[Sale_Date]]), MONTH(Table1[[#This Row],[Sale_Date]]), 1)</f>
        <v>44927</v>
      </c>
      <c r="D27" t="s">
        <v>38</v>
      </c>
      <c r="E27" t="s">
        <v>25</v>
      </c>
      <c r="F27" s="2">
        <v>3613.75</v>
      </c>
      <c r="G27">
        <v>4</v>
      </c>
      <c r="H27" t="s">
        <v>35</v>
      </c>
      <c r="I27" s="2">
        <v>1054.1199999999999</v>
      </c>
      <c r="J27" s="2">
        <v>1175.21999999999</v>
      </c>
      <c r="K27" t="s">
        <v>17</v>
      </c>
      <c r="L27" s="5">
        <v>0.12</v>
      </c>
      <c r="M27" t="s">
        <v>27</v>
      </c>
      <c r="N27" t="s">
        <v>22</v>
      </c>
      <c r="O27" t="s">
        <v>39</v>
      </c>
      <c r="P27" s="4">
        <f t="shared" si="0"/>
        <v>4136.7743999999648</v>
      </c>
      <c r="Q27" s="4">
        <f t="shared" si="1"/>
        <v>-79.705600000034792</v>
      </c>
      <c r="R27" t="str">
        <f>IF( Table1[[#This Row],[Total Amount after sale]] &gt; 0,"PROFIT","LOSS")</f>
        <v>LOSS</v>
      </c>
      <c r="S27" s="3">
        <f>(Table1[[#This Row],[Total Amount after sale]]/Table1[[#This Row],[Price after discount]])</f>
        <v>-1.9267572338495294E-2</v>
      </c>
    </row>
    <row r="28" spans="1:19" x14ac:dyDescent="0.3">
      <c r="A28">
        <v>1067</v>
      </c>
      <c r="B28" s="1">
        <v>44935</v>
      </c>
      <c r="C28" s="1">
        <f>DATE(YEAR(Table1[[#This Row],[Sale_Date]]), MONTH(Table1[[#This Row],[Sale_Date]]), 1)</f>
        <v>44927</v>
      </c>
      <c r="D28" t="s">
        <v>33</v>
      </c>
      <c r="E28" t="s">
        <v>15</v>
      </c>
      <c r="F28" s="2">
        <v>1875.71</v>
      </c>
      <c r="G28">
        <v>48</v>
      </c>
      <c r="H28" t="s">
        <v>35</v>
      </c>
      <c r="I28" s="2">
        <v>210.63</v>
      </c>
      <c r="J28" s="2">
        <v>533.57999999999902</v>
      </c>
      <c r="K28" t="s">
        <v>30</v>
      </c>
      <c r="L28" s="5">
        <v>0.04</v>
      </c>
      <c r="M28" t="s">
        <v>27</v>
      </c>
      <c r="N28" t="s">
        <v>19</v>
      </c>
      <c r="O28" t="s">
        <v>53</v>
      </c>
      <c r="P28" s="4">
        <f t="shared" si="0"/>
        <v>24587.366399999952</v>
      </c>
      <c r="Q28" s="4">
        <f t="shared" si="1"/>
        <v>14477.126399999952</v>
      </c>
      <c r="R28" t="str">
        <f>IF( Table1[[#This Row],[Total Amount after sale]] &gt; 0,"PROFIT","LOSS")</f>
        <v>PROFIT</v>
      </c>
      <c r="S28" s="3">
        <f>(Table1[[#This Row],[Total Amount after sale]]/Table1[[#This Row],[Price after discount]])</f>
        <v>0.5888034596499111</v>
      </c>
    </row>
    <row r="29" spans="1:19" x14ac:dyDescent="0.3">
      <c r="A29">
        <v>1057</v>
      </c>
      <c r="B29" s="1">
        <v>44935</v>
      </c>
      <c r="C29" s="1">
        <f>DATE(YEAR(Table1[[#This Row],[Sale_Date]]), MONTH(Table1[[#This Row],[Sale_Date]]), 1)</f>
        <v>44927</v>
      </c>
      <c r="D29" t="s">
        <v>33</v>
      </c>
      <c r="E29" t="s">
        <v>15</v>
      </c>
      <c r="F29" s="2">
        <v>2114.38</v>
      </c>
      <c r="G29">
        <v>12</v>
      </c>
      <c r="H29" t="s">
        <v>16</v>
      </c>
      <c r="I29" s="2">
        <v>639.16</v>
      </c>
      <c r="J29" s="2">
        <v>746.28</v>
      </c>
      <c r="K29" t="s">
        <v>17</v>
      </c>
      <c r="L29" s="5">
        <v>0.04</v>
      </c>
      <c r="M29" t="s">
        <v>27</v>
      </c>
      <c r="N29" t="s">
        <v>22</v>
      </c>
      <c r="O29" t="s">
        <v>53</v>
      </c>
      <c r="P29" s="4">
        <f t="shared" si="0"/>
        <v>8597.1455999999998</v>
      </c>
      <c r="Q29" s="4">
        <f t="shared" si="1"/>
        <v>927.2255999999993</v>
      </c>
      <c r="R29" t="str">
        <f>IF( Table1[[#This Row],[Total Amount after sale]] &gt; 0,"PROFIT","LOSS")</f>
        <v>PROFIT</v>
      </c>
      <c r="S29" s="3">
        <f>(Table1[[#This Row],[Total Amount after sale]]/Table1[[#This Row],[Price after discount]])</f>
        <v>0.10785272730521155</v>
      </c>
    </row>
    <row r="30" spans="1:19" x14ac:dyDescent="0.3">
      <c r="A30">
        <v>1037</v>
      </c>
      <c r="B30" s="1">
        <v>44935</v>
      </c>
      <c r="C30" s="1">
        <f>DATE(YEAR(Table1[[#This Row],[Sale_Date]]), MONTH(Table1[[#This Row],[Sale_Date]]), 1)</f>
        <v>44927</v>
      </c>
      <c r="D30" t="s">
        <v>33</v>
      </c>
      <c r="E30" t="s">
        <v>15</v>
      </c>
      <c r="F30" s="2">
        <v>7750.81</v>
      </c>
      <c r="G30">
        <v>41</v>
      </c>
      <c r="H30" t="s">
        <v>29</v>
      </c>
      <c r="I30" s="2">
        <v>4965.07</v>
      </c>
      <c r="J30" s="2">
        <v>5243.13</v>
      </c>
      <c r="K30" t="s">
        <v>30</v>
      </c>
      <c r="L30" s="5">
        <v>0.01</v>
      </c>
      <c r="M30" t="s">
        <v>31</v>
      </c>
      <c r="N30" t="s">
        <v>19</v>
      </c>
      <c r="O30" t="s">
        <v>53</v>
      </c>
      <c r="P30" s="4">
        <f t="shared" si="0"/>
        <v>212818.64669999998</v>
      </c>
      <c r="Q30" s="4">
        <f t="shared" si="1"/>
        <v>9250.7767000000094</v>
      </c>
      <c r="R30" t="str">
        <f>IF( Table1[[#This Row],[Total Amount after sale]] &gt; 0,"PROFIT","LOSS")</f>
        <v>PROFIT</v>
      </c>
      <c r="S30" s="3">
        <f>(Table1[[#This Row],[Total Amount after sale]]/Table1[[#This Row],[Price after discount]])</f>
        <v>4.3467886124848712E-2</v>
      </c>
    </row>
    <row r="31" spans="1:19" x14ac:dyDescent="0.3">
      <c r="A31">
        <v>1066</v>
      </c>
      <c r="B31" s="1">
        <v>44935</v>
      </c>
      <c r="C31" s="1">
        <f>DATE(YEAR(Table1[[#This Row],[Sale_Date]]), MONTH(Table1[[#This Row],[Sale_Date]]), 1)</f>
        <v>44927</v>
      </c>
      <c r="D31" t="s">
        <v>42</v>
      </c>
      <c r="E31" t="s">
        <v>15</v>
      </c>
      <c r="F31" s="2">
        <v>6264.04</v>
      </c>
      <c r="G31">
        <v>48</v>
      </c>
      <c r="H31" t="s">
        <v>29</v>
      </c>
      <c r="I31" s="2">
        <v>2588.54</v>
      </c>
      <c r="J31" s="2">
        <v>2872.8</v>
      </c>
      <c r="K31" t="s">
        <v>30</v>
      </c>
      <c r="L31" s="5">
        <v>0.17</v>
      </c>
      <c r="M31" t="s">
        <v>18</v>
      </c>
      <c r="N31" t="s">
        <v>19</v>
      </c>
      <c r="O31" t="s">
        <v>49</v>
      </c>
      <c r="P31" s="4">
        <f t="shared" si="0"/>
        <v>114452.352</v>
      </c>
      <c r="Q31" s="4">
        <f t="shared" si="1"/>
        <v>-9797.5679999999993</v>
      </c>
      <c r="R31" t="str">
        <f>IF( Table1[[#This Row],[Total Amount after sale]] &gt; 0,"PROFIT","LOSS")</f>
        <v>LOSS</v>
      </c>
      <c r="S31" s="3">
        <f>(Table1[[#This Row],[Total Amount after sale]]/Table1[[#This Row],[Price after discount]])</f>
        <v>-8.5603902661607154E-2</v>
      </c>
    </row>
    <row r="32" spans="1:19" x14ac:dyDescent="0.3">
      <c r="A32">
        <v>1051</v>
      </c>
      <c r="B32" s="1">
        <v>44935</v>
      </c>
      <c r="C32" s="1">
        <f>DATE(YEAR(Table1[[#This Row],[Sale_Date]]), MONTH(Table1[[#This Row],[Sale_Date]]), 1)</f>
        <v>44927</v>
      </c>
      <c r="D32" t="s">
        <v>24</v>
      </c>
      <c r="E32" t="s">
        <v>25</v>
      </c>
      <c r="F32" s="2">
        <v>5785.45</v>
      </c>
      <c r="G32">
        <v>23</v>
      </c>
      <c r="H32" t="s">
        <v>16</v>
      </c>
      <c r="I32" s="2">
        <v>2598.1799999999998</v>
      </c>
      <c r="J32" s="2">
        <v>3042.73</v>
      </c>
      <c r="K32" t="s">
        <v>17</v>
      </c>
      <c r="L32" s="5">
        <v>0.24</v>
      </c>
      <c r="M32" t="s">
        <v>31</v>
      </c>
      <c r="N32" t="s">
        <v>19</v>
      </c>
      <c r="O32" t="s">
        <v>28</v>
      </c>
      <c r="P32" s="4">
        <f t="shared" si="0"/>
        <v>53186.920400000003</v>
      </c>
      <c r="Q32" s="4">
        <f t="shared" si="1"/>
        <v>-6571.2195999999967</v>
      </c>
      <c r="R32" t="str">
        <f>IF( Table1[[#This Row],[Total Amount after sale]] &gt; 0,"PROFIT","LOSS")</f>
        <v>LOSS</v>
      </c>
      <c r="S32" s="3">
        <f>(Table1[[#This Row],[Total Amount after sale]]/Table1[[#This Row],[Price after discount]])</f>
        <v>-0.12354954095067321</v>
      </c>
    </row>
    <row r="33" spans="1:19" x14ac:dyDescent="0.3">
      <c r="A33">
        <v>1054</v>
      </c>
      <c r="B33" s="1">
        <v>44936</v>
      </c>
      <c r="C33" s="1">
        <f>DATE(YEAR(Table1[[#This Row],[Sale_Date]]), MONTH(Table1[[#This Row],[Sale_Date]]), 1)</f>
        <v>44927</v>
      </c>
      <c r="D33" t="s">
        <v>38</v>
      </c>
      <c r="E33" t="s">
        <v>25</v>
      </c>
      <c r="F33" s="2">
        <v>4634.16</v>
      </c>
      <c r="G33">
        <v>40</v>
      </c>
      <c r="H33" t="s">
        <v>16</v>
      </c>
      <c r="I33" s="2">
        <v>2654.11</v>
      </c>
      <c r="J33" s="2">
        <v>2929.32</v>
      </c>
      <c r="K33" t="s">
        <v>17</v>
      </c>
      <c r="L33" s="5">
        <v>0.08</v>
      </c>
      <c r="M33" t="s">
        <v>18</v>
      </c>
      <c r="N33" t="s">
        <v>19</v>
      </c>
      <c r="O33" t="s">
        <v>39</v>
      </c>
      <c r="P33" s="4">
        <f t="shared" si="0"/>
        <v>107798.976</v>
      </c>
      <c r="Q33" s="4">
        <f t="shared" si="1"/>
        <v>1634.5759999999973</v>
      </c>
      <c r="R33" t="str">
        <f>IF( Table1[[#This Row],[Total Amount after sale]] &gt; 0,"PROFIT","LOSS")</f>
        <v>PROFIT</v>
      </c>
      <c r="S33" s="3">
        <f>(Table1[[#This Row],[Total Amount after sale]]/Table1[[#This Row],[Price after discount]])</f>
        <v>1.5163186707821763E-2</v>
      </c>
    </row>
    <row r="34" spans="1:19" x14ac:dyDescent="0.3">
      <c r="A34">
        <v>1094</v>
      </c>
      <c r="B34" s="1">
        <v>44936</v>
      </c>
      <c r="C34" s="1">
        <f>DATE(YEAR(Table1[[#This Row],[Sale_Date]]), MONTH(Table1[[#This Row],[Sale_Date]]), 1)</f>
        <v>44927</v>
      </c>
      <c r="D34" t="s">
        <v>38</v>
      </c>
      <c r="E34" t="s">
        <v>15</v>
      </c>
      <c r="F34" s="2">
        <v>2548.67</v>
      </c>
      <c r="G34">
        <v>25</v>
      </c>
      <c r="H34" t="s">
        <v>35</v>
      </c>
      <c r="I34" s="2">
        <v>1933.39</v>
      </c>
      <c r="J34" s="2">
        <v>1982.92</v>
      </c>
      <c r="K34" t="s">
        <v>30</v>
      </c>
      <c r="L34" s="5">
        <v>0.17</v>
      </c>
      <c r="M34" t="s">
        <v>27</v>
      </c>
      <c r="N34" t="s">
        <v>19</v>
      </c>
      <c r="O34" t="s">
        <v>40</v>
      </c>
      <c r="P34" s="4">
        <f t="shared" si="0"/>
        <v>41145.589999999997</v>
      </c>
      <c r="Q34" s="4">
        <f t="shared" si="1"/>
        <v>-7189.1600000000035</v>
      </c>
      <c r="R34" t="str">
        <f>IF( Table1[[#This Row],[Total Amount after sale]] &gt; 0,"PROFIT","LOSS")</f>
        <v>LOSS</v>
      </c>
      <c r="S34" s="3">
        <f>(Table1[[#This Row],[Total Amount after sale]]/Table1[[#This Row],[Price after discount]])</f>
        <v>-0.17472492191751302</v>
      </c>
    </row>
    <row r="35" spans="1:19" x14ac:dyDescent="0.3">
      <c r="A35">
        <v>1077</v>
      </c>
      <c r="B35" s="1">
        <v>44937</v>
      </c>
      <c r="C35" s="1">
        <f>DATE(YEAR(Table1[[#This Row],[Sale_Date]]), MONTH(Table1[[#This Row],[Sale_Date]]), 1)</f>
        <v>44927</v>
      </c>
      <c r="D35" t="s">
        <v>38</v>
      </c>
      <c r="E35" t="s">
        <v>15</v>
      </c>
      <c r="F35" s="2">
        <v>9192.42</v>
      </c>
      <c r="G35">
        <v>35</v>
      </c>
      <c r="H35" t="s">
        <v>35</v>
      </c>
      <c r="I35" s="2">
        <v>585.37</v>
      </c>
      <c r="J35" s="2">
        <v>970.49</v>
      </c>
      <c r="K35" t="s">
        <v>17</v>
      </c>
      <c r="L35" s="5">
        <v>0.15</v>
      </c>
      <c r="M35" t="s">
        <v>27</v>
      </c>
      <c r="N35" t="s">
        <v>22</v>
      </c>
      <c r="O35" t="s">
        <v>40</v>
      </c>
      <c r="P35" s="4">
        <f t="shared" si="0"/>
        <v>28872.077500000003</v>
      </c>
      <c r="Q35" s="4">
        <f t="shared" si="1"/>
        <v>8384.1275000000005</v>
      </c>
      <c r="R35" t="str">
        <f>IF( Table1[[#This Row],[Total Amount after sale]] &gt; 0,"PROFIT","LOSS")</f>
        <v>PROFIT</v>
      </c>
      <c r="S35" s="3">
        <f>(Table1[[#This Row],[Total Amount after sale]]/Table1[[#This Row],[Price after discount]])</f>
        <v>0.29038878480428015</v>
      </c>
    </row>
    <row r="36" spans="1:19" x14ac:dyDescent="0.3">
      <c r="A36">
        <v>1044</v>
      </c>
      <c r="B36" s="1">
        <v>44937</v>
      </c>
      <c r="C36" s="1">
        <f>DATE(YEAR(Table1[[#This Row],[Sale_Date]]), MONTH(Table1[[#This Row],[Sale_Date]]), 1)</f>
        <v>44927</v>
      </c>
      <c r="D36" t="s">
        <v>38</v>
      </c>
      <c r="E36" t="s">
        <v>15</v>
      </c>
      <c r="F36" s="2">
        <v>3594.29</v>
      </c>
      <c r="G36">
        <v>5</v>
      </c>
      <c r="H36" t="s">
        <v>26</v>
      </c>
      <c r="I36" s="2">
        <v>4762.87</v>
      </c>
      <c r="J36" s="2">
        <v>5050.46</v>
      </c>
      <c r="K36" t="s">
        <v>30</v>
      </c>
      <c r="L36" s="5">
        <v>0.25</v>
      </c>
      <c r="M36" t="s">
        <v>18</v>
      </c>
      <c r="N36" t="s">
        <v>22</v>
      </c>
      <c r="O36" t="s">
        <v>40</v>
      </c>
      <c r="P36" s="4">
        <f t="shared" si="0"/>
        <v>18939.225000000002</v>
      </c>
      <c r="Q36" s="4">
        <f t="shared" si="1"/>
        <v>-4875.1249999999982</v>
      </c>
      <c r="R36" t="str">
        <f>IF( Table1[[#This Row],[Total Amount after sale]] &gt; 0,"PROFIT","LOSS")</f>
        <v>LOSS</v>
      </c>
      <c r="S36" s="3">
        <f>(Table1[[#This Row],[Total Amount after sale]]/Table1[[#This Row],[Price after discount]])</f>
        <v>-0.25740889608735296</v>
      </c>
    </row>
    <row r="37" spans="1:19" x14ac:dyDescent="0.3">
      <c r="A37">
        <v>1060</v>
      </c>
      <c r="B37" s="1">
        <v>44937</v>
      </c>
      <c r="C37" s="1">
        <f>DATE(YEAR(Table1[[#This Row],[Sale_Date]]), MONTH(Table1[[#This Row],[Sale_Date]]), 1)</f>
        <v>44927</v>
      </c>
      <c r="D37" t="s">
        <v>33</v>
      </c>
      <c r="E37" t="s">
        <v>21</v>
      </c>
      <c r="F37" s="2">
        <v>1016.99</v>
      </c>
      <c r="G37">
        <v>34</v>
      </c>
      <c r="H37" t="s">
        <v>35</v>
      </c>
      <c r="I37" s="2">
        <v>4984.21</v>
      </c>
      <c r="J37" s="2">
        <v>5184.6400000000003</v>
      </c>
      <c r="K37" t="s">
        <v>30</v>
      </c>
      <c r="L37" s="5">
        <v>0.17</v>
      </c>
      <c r="M37" t="s">
        <v>18</v>
      </c>
      <c r="N37" t="s">
        <v>19</v>
      </c>
      <c r="O37" t="s">
        <v>37</v>
      </c>
      <c r="P37" s="4">
        <f t="shared" si="0"/>
        <v>146310.54079999999</v>
      </c>
      <c r="Q37" s="4">
        <f t="shared" si="1"/>
        <v>-23152.599200000011</v>
      </c>
      <c r="R37" t="str">
        <f>IF( Table1[[#This Row],[Total Amount after sale]] &gt; 0,"PROFIT","LOSS")</f>
        <v>LOSS</v>
      </c>
      <c r="S37" s="3">
        <f>(Table1[[#This Row],[Total Amount after sale]]/Table1[[#This Row],[Price after discount]])</f>
        <v>-0.15824286530147261</v>
      </c>
    </row>
    <row r="38" spans="1:19" x14ac:dyDescent="0.3">
      <c r="A38">
        <v>1084</v>
      </c>
      <c r="B38" s="1">
        <v>44937</v>
      </c>
      <c r="C38" s="1">
        <f>DATE(YEAR(Table1[[#This Row],[Sale_Date]]), MONTH(Table1[[#This Row],[Sale_Date]]), 1)</f>
        <v>44927</v>
      </c>
      <c r="D38" t="s">
        <v>14</v>
      </c>
      <c r="E38" t="s">
        <v>34</v>
      </c>
      <c r="F38" s="2">
        <v>8967.18</v>
      </c>
      <c r="G38">
        <v>21</v>
      </c>
      <c r="H38" t="s">
        <v>29</v>
      </c>
      <c r="I38" s="2">
        <v>576.74</v>
      </c>
      <c r="J38" s="2">
        <v>648.29</v>
      </c>
      <c r="K38" t="s">
        <v>17</v>
      </c>
      <c r="L38" s="5">
        <v>0.2</v>
      </c>
      <c r="M38" t="s">
        <v>27</v>
      </c>
      <c r="N38" t="s">
        <v>19</v>
      </c>
      <c r="O38" t="s">
        <v>46</v>
      </c>
      <c r="P38" s="4">
        <f t="shared" si="0"/>
        <v>10891.271999999999</v>
      </c>
      <c r="Q38" s="4">
        <f t="shared" si="1"/>
        <v>-1220.2680000000014</v>
      </c>
      <c r="R38" t="str">
        <f>IF( Table1[[#This Row],[Total Amount after sale]] &gt; 0,"PROFIT","LOSS")</f>
        <v>LOSS</v>
      </c>
      <c r="S38" s="3">
        <f>(Table1[[#This Row],[Total Amount after sale]]/Table1[[#This Row],[Price after discount]])</f>
        <v>-0.1120409076185042</v>
      </c>
    </row>
    <row r="39" spans="1:19" x14ac:dyDescent="0.3">
      <c r="A39">
        <v>1088</v>
      </c>
      <c r="B39" s="1">
        <v>44937</v>
      </c>
      <c r="C39" s="1">
        <f>DATE(YEAR(Table1[[#This Row],[Sale_Date]]), MONTH(Table1[[#This Row],[Sale_Date]]), 1)</f>
        <v>44927</v>
      </c>
      <c r="D39" t="s">
        <v>42</v>
      </c>
      <c r="E39" t="s">
        <v>25</v>
      </c>
      <c r="F39" s="2">
        <v>1758.16</v>
      </c>
      <c r="G39">
        <v>11</v>
      </c>
      <c r="H39" t="s">
        <v>26</v>
      </c>
      <c r="I39" s="2">
        <v>3884.13</v>
      </c>
      <c r="J39" s="2">
        <v>3915.41</v>
      </c>
      <c r="K39" t="s">
        <v>17</v>
      </c>
      <c r="L39" s="5">
        <v>0.02</v>
      </c>
      <c r="M39" t="s">
        <v>18</v>
      </c>
      <c r="N39" t="s">
        <v>19</v>
      </c>
      <c r="O39" t="s">
        <v>43</v>
      </c>
      <c r="P39" s="4">
        <f t="shared" si="0"/>
        <v>42208.1198</v>
      </c>
      <c r="Q39" s="4">
        <f t="shared" si="1"/>
        <v>-517.31020000000217</v>
      </c>
      <c r="R39" t="str">
        <f>IF( Table1[[#This Row],[Total Amount after sale]] &gt; 0,"PROFIT","LOSS")</f>
        <v>LOSS</v>
      </c>
      <c r="S39" s="3">
        <f>(Table1[[#This Row],[Total Amount after sale]]/Table1[[#This Row],[Price after discount]])</f>
        <v>-1.2256177305486187E-2</v>
      </c>
    </row>
    <row r="40" spans="1:19" x14ac:dyDescent="0.3">
      <c r="A40">
        <v>1022</v>
      </c>
      <c r="B40" s="1">
        <v>44938</v>
      </c>
      <c r="C40" s="1">
        <f>DATE(YEAR(Table1[[#This Row],[Sale_Date]]), MONTH(Table1[[#This Row],[Sale_Date]]), 1)</f>
        <v>44927</v>
      </c>
      <c r="D40" t="s">
        <v>38</v>
      </c>
      <c r="E40" t="s">
        <v>34</v>
      </c>
      <c r="F40" s="2">
        <v>2761.65</v>
      </c>
      <c r="G40">
        <v>13</v>
      </c>
      <c r="H40" t="s">
        <v>26</v>
      </c>
      <c r="I40" s="2">
        <v>2312.4499999999998</v>
      </c>
      <c r="J40" s="2">
        <v>2504.6</v>
      </c>
      <c r="K40" t="s">
        <v>17</v>
      </c>
      <c r="L40" s="5">
        <v>0.06</v>
      </c>
      <c r="M40" t="s">
        <v>27</v>
      </c>
      <c r="N40" t="s">
        <v>19</v>
      </c>
      <c r="O40" t="s">
        <v>48</v>
      </c>
      <c r="P40" s="4">
        <f t="shared" si="0"/>
        <v>30606.211999999996</v>
      </c>
      <c r="Q40" s="4">
        <f t="shared" si="1"/>
        <v>544.36199999999735</v>
      </c>
      <c r="R40" t="str">
        <f>IF( Table1[[#This Row],[Total Amount after sale]] &gt; 0,"PROFIT","LOSS")</f>
        <v>PROFIT</v>
      </c>
      <c r="S40" s="3">
        <f>(Table1[[#This Row],[Total Amount after sale]]/Table1[[#This Row],[Price after discount]])</f>
        <v>1.7785997169463424E-2</v>
      </c>
    </row>
    <row r="41" spans="1:19" x14ac:dyDescent="0.3">
      <c r="A41">
        <v>1078</v>
      </c>
      <c r="B41" s="1">
        <v>44938</v>
      </c>
      <c r="C41" s="1">
        <f>DATE(YEAR(Table1[[#This Row],[Sale_Date]]), MONTH(Table1[[#This Row],[Sale_Date]]), 1)</f>
        <v>44927</v>
      </c>
      <c r="D41" t="s">
        <v>38</v>
      </c>
      <c r="E41" t="s">
        <v>34</v>
      </c>
      <c r="F41" s="2">
        <v>4481.2</v>
      </c>
      <c r="G41">
        <v>36</v>
      </c>
      <c r="H41" t="s">
        <v>26</v>
      </c>
      <c r="I41" s="2">
        <v>4548.88</v>
      </c>
      <c r="J41" s="2">
        <v>4853.41</v>
      </c>
      <c r="K41" t="s">
        <v>17</v>
      </c>
      <c r="L41" s="5">
        <v>0.25</v>
      </c>
      <c r="M41" t="s">
        <v>31</v>
      </c>
      <c r="N41" t="s">
        <v>22</v>
      </c>
      <c r="O41" t="s">
        <v>48</v>
      </c>
      <c r="P41" s="4">
        <f t="shared" si="0"/>
        <v>131042.06999999999</v>
      </c>
      <c r="Q41" s="4">
        <f t="shared" si="1"/>
        <v>-32717.610000000008</v>
      </c>
      <c r="R41" t="str">
        <f>IF( Table1[[#This Row],[Total Amount after sale]] &gt; 0,"PROFIT","LOSS")</f>
        <v>LOSS</v>
      </c>
      <c r="S41" s="3">
        <f>(Table1[[#This Row],[Total Amount after sale]]/Table1[[#This Row],[Price after discount]])</f>
        <v>-0.24967256698554907</v>
      </c>
    </row>
    <row r="42" spans="1:19" x14ac:dyDescent="0.3">
      <c r="A42">
        <v>1087</v>
      </c>
      <c r="B42" s="1">
        <v>44938</v>
      </c>
      <c r="C42" s="1">
        <f>DATE(YEAR(Table1[[#This Row],[Sale_Date]]), MONTH(Table1[[#This Row],[Sale_Date]]), 1)</f>
        <v>44927</v>
      </c>
      <c r="D42" t="s">
        <v>33</v>
      </c>
      <c r="E42" t="s">
        <v>15</v>
      </c>
      <c r="F42" s="2">
        <v>6701.79</v>
      </c>
      <c r="G42">
        <v>21</v>
      </c>
      <c r="H42" t="s">
        <v>26</v>
      </c>
      <c r="I42" s="2">
        <v>3724.38</v>
      </c>
      <c r="J42" s="2">
        <v>3988.7</v>
      </c>
      <c r="K42" t="s">
        <v>30</v>
      </c>
      <c r="L42" s="5">
        <v>0.03</v>
      </c>
      <c r="M42" t="s">
        <v>27</v>
      </c>
      <c r="N42" t="s">
        <v>22</v>
      </c>
      <c r="O42" t="s">
        <v>53</v>
      </c>
      <c r="P42" s="4">
        <f t="shared" si="0"/>
        <v>81249.818999999989</v>
      </c>
      <c r="Q42" s="4">
        <f t="shared" si="1"/>
        <v>3037.8389999999927</v>
      </c>
      <c r="R42" t="str">
        <f>IF( Table1[[#This Row],[Total Amount after sale]] &gt; 0,"PROFIT","LOSS")</f>
        <v>PROFIT</v>
      </c>
      <c r="S42" s="3">
        <f>(Table1[[#This Row],[Total Amount after sale]]/Table1[[#This Row],[Price after discount]])</f>
        <v>3.7388870983207888E-2</v>
      </c>
    </row>
    <row r="43" spans="1:19" x14ac:dyDescent="0.3">
      <c r="A43">
        <v>1013</v>
      </c>
      <c r="B43" s="1">
        <v>44938</v>
      </c>
      <c r="C43" s="1">
        <f>DATE(YEAR(Table1[[#This Row],[Sale_Date]]), MONTH(Table1[[#This Row],[Sale_Date]]), 1)</f>
        <v>44927</v>
      </c>
      <c r="D43" t="s">
        <v>42</v>
      </c>
      <c r="E43" t="s">
        <v>21</v>
      </c>
      <c r="F43" s="2">
        <v>7646.8</v>
      </c>
      <c r="G43">
        <v>35</v>
      </c>
      <c r="H43" t="s">
        <v>35</v>
      </c>
      <c r="I43" s="2">
        <v>1312.71</v>
      </c>
      <c r="J43" s="2">
        <v>1352.11</v>
      </c>
      <c r="K43" t="s">
        <v>17</v>
      </c>
      <c r="L43" s="5">
        <v>0.22</v>
      </c>
      <c r="M43" t="s">
        <v>27</v>
      </c>
      <c r="N43" t="s">
        <v>22</v>
      </c>
      <c r="O43" t="s">
        <v>51</v>
      </c>
      <c r="P43" s="4">
        <f t="shared" si="0"/>
        <v>36912.603000000003</v>
      </c>
      <c r="Q43" s="4">
        <f t="shared" si="1"/>
        <v>-9032.2470000000012</v>
      </c>
      <c r="R43" t="str">
        <f>IF( Table1[[#This Row],[Total Amount after sale]] &gt; 0,"PROFIT","LOSS")</f>
        <v>LOSS</v>
      </c>
      <c r="S43" s="3">
        <f>(Table1[[#This Row],[Total Amount after sale]]/Table1[[#This Row],[Price after discount]])</f>
        <v>-0.24469276794161604</v>
      </c>
    </row>
    <row r="44" spans="1:19" x14ac:dyDescent="0.3">
      <c r="A44">
        <v>1045</v>
      </c>
      <c r="B44" s="1">
        <v>44938</v>
      </c>
      <c r="C44" s="1">
        <f>DATE(YEAR(Table1[[#This Row],[Sale_Date]]), MONTH(Table1[[#This Row],[Sale_Date]]), 1)</f>
        <v>44927</v>
      </c>
      <c r="D44" t="s">
        <v>33</v>
      </c>
      <c r="E44" t="s">
        <v>25</v>
      </c>
      <c r="F44" s="2">
        <v>9613.11</v>
      </c>
      <c r="G44">
        <v>35</v>
      </c>
      <c r="H44" t="s">
        <v>16</v>
      </c>
      <c r="I44" s="2">
        <v>3777.94</v>
      </c>
      <c r="J44" s="2">
        <v>4188.66</v>
      </c>
      <c r="K44" t="s">
        <v>30</v>
      </c>
      <c r="L44" s="5">
        <v>0.17</v>
      </c>
      <c r="M44" t="s">
        <v>27</v>
      </c>
      <c r="N44" t="s">
        <v>19</v>
      </c>
      <c r="O44" t="s">
        <v>44</v>
      </c>
      <c r="P44" s="4">
        <f t="shared" si="0"/>
        <v>121680.57299999999</v>
      </c>
      <c r="Q44" s="4">
        <f t="shared" si="1"/>
        <v>-10547.327000000008</v>
      </c>
      <c r="R44" t="str">
        <f>IF( Table1[[#This Row],[Total Amount after sale]] &gt; 0,"PROFIT","LOSS")</f>
        <v>LOSS</v>
      </c>
      <c r="S44" s="3">
        <f>(Table1[[#This Row],[Total Amount after sale]]/Table1[[#This Row],[Price after discount]])</f>
        <v>-8.668045144724959E-2</v>
      </c>
    </row>
    <row r="45" spans="1:19" x14ac:dyDescent="0.3">
      <c r="A45">
        <v>1094</v>
      </c>
      <c r="B45" s="1">
        <v>44938</v>
      </c>
      <c r="C45" s="1">
        <f>DATE(YEAR(Table1[[#This Row],[Sale_Date]]), MONTH(Table1[[#This Row],[Sale_Date]]), 1)</f>
        <v>44927</v>
      </c>
      <c r="D45" t="s">
        <v>38</v>
      </c>
      <c r="E45" t="s">
        <v>21</v>
      </c>
      <c r="F45" s="2">
        <v>5835.21</v>
      </c>
      <c r="G45">
        <v>38</v>
      </c>
      <c r="H45" t="s">
        <v>26</v>
      </c>
      <c r="I45" s="2">
        <v>3443.98</v>
      </c>
      <c r="J45" s="2">
        <v>3820.3</v>
      </c>
      <c r="K45" t="s">
        <v>17</v>
      </c>
      <c r="L45" s="5">
        <v>0.01</v>
      </c>
      <c r="M45" t="s">
        <v>31</v>
      </c>
      <c r="N45" t="s">
        <v>22</v>
      </c>
      <c r="O45" t="s">
        <v>41</v>
      </c>
      <c r="P45" s="4">
        <f t="shared" si="0"/>
        <v>143719.68600000002</v>
      </c>
      <c r="Q45" s="4">
        <f t="shared" si="1"/>
        <v>12848.446000000007</v>
      </c>
      <c r="R45" t="str">
        <f>IF( Table1[[#This Row],[Total Amount after sale]] &gt; 0,"PROFIT","LOSS")</f>
        <v>PROFIT</v>
      </c>
      <c r="S45" s="3">
        <f>(Table1[[#This Row],[Total Amount after sale]]/Table1[[#This Row],[Price after discount]])</f>
        <v>8.9399346447222305E-2</v>
      </c>
    </row>
    <row r="46" spans="1:19" x14ac:dyDescent="0.3">
      <c r="A46">
        <v>1048</v>
      </c>
      <c r="B46" s="1">
        <v>44938</v>
      </c>
      <c r="C46" s="1">
        <f>DATE(YEAR(Table1[[#This Row],[Sale_Date]]), MONTH(Table1[[#This Row],[Sale_Date]]), 1)</f>
        <v>44927</v>
      </c>
      <c r="D46" t="s">
        <v>33</v>
      </c>
      <c r="E46" t="s">
        <v>34</v>
      </c>
      <c r="F46" s="2">
        <v>6482.98</v>
      </c>
      <c r="G46">
        <v>47</v>
      </c>
      <c r="H46" t="s">
        <v>29</v>
      </c>
      <c r="I46" s="2">
        <v>702.44</v>
      </c>
      <c r="J46" s="2">
        <v>1067.6600000000001</v>
      </c>
      <c r="K46" t="s">
        <v>30</v>
      </c>
      <c r="L46" s="5">
        <v>0.24</v>
      </c>
      <c r="M46" t="s">
        <v>18</v>
      </c>
      <c r="N46" t="s">
        <v>22</v>
      </c>
      <c r="O46" t="s">
        <v>36</v>
      </c>
      <c r="P46" s="4">
        <f t="shared" si="0"/>
        <v>38136.815200000005</v>
      </c>
      <c r="Q46" s="4">
        <f t="shared" si="1"/>
        <v>5122.1352000000034</v>
      </c>
      <c r="R46" t="str">
        <f>IF( Table1[[#This Row],[Total Amount after sale]] &gt; 0,"PROFIT","LOSS")</f>
        <v>PROFIT</v>
      </c>
      <c r="S46" s="3">
        <f>(Table1[[#This Row],[Total Amount after sale]]/Table1[[#This Row],[Price after discount]])</f>
        <v>0.13430946378553402</v>
      </c>
    </row>
    <row r="47" spans="1:19" x14ac:dyDescent="0.3">
      <c r="A47">
        <v>1090</v>
      </c>
      <c r="B47" s="1">
        <v>44939</v>
      </c>
      <c r="C47" s="1">
        <f>DATE(YEAR(Table1[[#This Row],[Sale_Date]]), MONTH(Table1[[#This Row],[Sale_Date]]), 1)</f>
        <v>44927</v>
      </c>
      <c r="D47" t="s">
        <v>42</v>
      </c>
      <c r="E47" t="s">
        <v>34</v>
      </c>
      <c r="F47" s="2">
        <v>2359.5300000000002</v>
      </c>
      <c r="G47">
        <v>17</v>
      </c>
      <c r="H47" t="s">
        <v>29</v>
      </c>
      <c r="I47" s="2">
        <v>2382.98</v>
      </c>
      <c r="J47" s="2">
        <v>2839.73</v>
      </c>
      <c r="K47" t="s">
        <v>17</v>
      </c>
      <c r="L47" s="5">
        <v>0.23</v>
      </c>
      <c r="M47" t="s">
        <v>27</v>
      </c>
      <c r="N47" t="s">
        <v>22</v>
      </c>
      <c r="O47" t="s">
        <v>52</v>
      </c>
      <c r="P47" s="4">
        <f t="shared" si="0"/>
        <v>37172.065699999999</v>
      </c>
      <c r="Q47" s="4">
        <f t="shared" si="1"/>
        <v>-3338.5943000000029</v>
      </c>
      <c r="R47" t="str">
        <f>IF( Table1[[#This Row],[Total Amount after sale]] &gt; 0,"PROFIT","LOSS")</f>
        <v>LOSS</v>
      </c>
      <c r="S47" s="3">
        <f>(Table1[[#This Row],[Total Amount after sale]]/Table1[[#This Row],[Price after discount]])</f>
        <v>-8.9814602366852139E-2</v>
      </c>
    </row>
    <row r="48" spans="1:19" x14ac:dyDescent="0.3">
      <c r="A48">
        <v>1012</v>
      </c>
      <c r="B48" s="1">
        <v>44939</v>
      </c>
      <c r="C48" s="1">
        <f>DATE(YEAR(Table1[[#This Row],[Sale_Date]]), MONTH(Table1[[#This Row],[Sale_Date]]), 1)</f>
        <v>44927</v>
      </c>
      <c r="D48" t="s">
        <v>42</v>
      </c>
      <c r="E48" t="s">
        <v>34</v>
      </c>
      <c r="F48" s="2">
        <v>8892.3700000000008</v>
      </c>
      <c r="G48">
        <v>39</v>
      </c>
      <c r="H48" t="s">
        <v>16</v>
      </c>
      <c r="I48" s="2">
        <v>3126.52</v>
      </c>
      <c r="J48" s="2">
        <v>3465.79</v>
      </c>
      <c r="K48" t="s">
        <v>30</v>
      </c>
      <c r="L48" s="5">
        <v>0.08</v>
      </c>
      <c r="M48" t="s">
        <v>18</v>
      </c>
      <c r="N48" t="s">
        <v>19</v>
      </c>
      <c r="O48" t="s">
        <v>52</v>
      </c>
      <c r="P48" s="4">
        <f t="shared" si="0"/>
        <v>124352.54520000001</v>
      </c>
      <c r="Q48" s="4">
        <f t="shared" si="1"/>
        <v>2418.2652000000044</v>
      </c>
      <c r="R48" t="str">
        <f>IF( Table1[[#This Row],[Total Amount after sale]] &gt; 0,"PROFIT","LOSS")</f>
        <v>PROFIT</v>
      </c>
      <c r="S48" s="3">
        <f>(Table1[[#This Row],[Total Amount after sale]]/Table1[[#This Row],[Price after discount]])</f>
        <v>1.9446849247119424E-2</v>
      </c>
    </row>
    <row r="49" spans="1:19" x14ac:dyDescent="0.3">
      <c r="A49">
        <v>1033</v>
      </c>
      <c r="B49" s="1">
        <v>44940</v>
      </c>
      <c r="C49" s="1">
        <f>DATE(YEAR(Table1[[#This Row],[Sale_Date]]), MONTH(Table1[[#This Row],[Sale_Date]]), 1)</f>
        <v>44927</v>
      </c>
      <c r="D49" t="s">
        <v>42</v>
      </c>
      <c r="E49" t="s">
        <v>21</v>
      </c>
      <c r="F49" s="2">
        <v>1740.92</v>
      </c>
      <c r="G49">
        <v>24</v>
      </c>
      <c r="H49" t="s">
        <v>29</v>
      </c>
      <c r="I49" s="2">
        <v>1345.67</v>
      </c>
      <c r="J49" s="2">
        <v>1367.76</v>
      </c>
      <c r="K49" t="s">
        <v>30</v>
      </c>
      <c r="L49" s="5">
        <v>0.06</v>
      </c>
      <c r="M49" t="s">
        <v>27</v>
      </c>
      <c r="N49" t="s">
        <v>19</v>
      </c>
      <c r="O49" t="s">
        <v>51</v>
      </c>
      <c r="P49" s="4">
        <f t="shared" si="0"/>
        <v>30856.665599999997</v>
      </c>
      <c r="Q49" s="4">
        <f t="shared" si="1"/>
        <v>-1439.4144000000051</v>
      </c>
      <c r="R49" t="str">
        <f>IF( Table1[[#This Row],[Total Amount after sale]] &gt; 0,"PROFIT","LOSS")</f>
        <v>LOSS</v>
      </c>
      <c r="S49" s="3">
        <f>(Table1[[#This Row],[Total Amount after sale]]/Table1[[#This Row],[Price after discount]])</f>
        <v>-4.6648410384303E-2</v>
      </c>
    </row>
    <row r="50" spans="1:19" x14ac:dyDescent="0.3">
      <c r="A50">
        <v>1058</v>
      </c>
      <c r="B50" s="1">
        <v>44940</v>
      </c>
      <c r="C50" s="1">
        <f>DATE(YEAR(Table1[[#This Row],[Sale_Date]]), MONTH(Table1[[#This Row],[Sale_Date]]), 1)</f>
        <v>44927</v>
      </c>
      <c r="D50" t="s">
        <v>14</v>
      </c>
      <c r="E50" t="s">
        <v>34</v>
      </c>
      <c r="F50" s="2">
        <v>5235.1400000000003</v>
      </c>
      <c r="G50">
        <v>6</v>
      </c>
      <c r="H50" t="s">
        <v>26</v>
      </c>
      <c r="I50" s="2">
        <v>4987.71</v>
      </c>
      <c r="J50" s="2">
        <v>4998.78</v>
      </c>
      <c r="K50" t="s">
        <v>17</v>
      </c>
      <c r="L50" s="5">
        <v>0.17</v>
      </c>
      <c r="M50" t="s">
        <v>18</v>
      </c>
      <c r="N50" t="s">
        <v>22</v>
      </c>
      <c r="O50" t="s">
        <v>46</v>
      </c>
      <c r="P50" s="4">
        <f t="shared" si="0"/>
        <v>24893.9244</v>
      </c>
      <c r="Q50" s="4">
        <f t="shared" si="1"/>
        <v>-5032.3356000000003</v>
      </c>
      <c r="R50" t="str">
        <f>IF( Table1[[#This Row],[Total Amount after sale]] &gt; 0,"PROFIT","LOSS")</f>
        <v>LOSS</v>
      </c>
      <c r="S50" s="3">
        <f>(Table1[[#This Row],[Total Amount after sale]]/Table1[[#This Row],[Price after discount]])</f>
        <v>-0.20215115620741583</v>
      </c>
    </row>
    <row r="51" spans="1:19" x14ac:dyDescent="0.3">
      <c r="A51">
        <v>1024</v>
      </c>
      <c r="B51" s="1">
        <v>44940</v>
      </c>
      <c r="C51" s="1">
        <f>DATE(YEAR(Table1[[#This Row],[Sale_Date]]), MONTH(Table1[[#This Row],[Sale_Date]]), 1)</f>
        <v>44927</v>
      </c>
      <c r="D51" t="s">
        <v>14</v>
      </c>
      <c r="E51" t="s">
        <v>25</v>
      </c>
      <c r="F51" s="2">
        <v>3334.75</v>
      </c>
      <c r="G51">
        <v>45</v>
      </c>
      <c r="H51" t="s">
        <v>29</v>
      </c>
      <c r="I51" s="2">
        <v>2693.99</v>
      </c>
      <c r="J51" s="2">
        <v>3045.9399999999901</v>
      </c>
      <c r="K51" t="s">
        <v>30</v>
      </c>
      <c r="L51" s="5">
        <v>0.01</v>
      </c>
      <c r="M51" t="s">
        <v>18</v>
      </c>
      <c r="N51" t="s">
        <v>22</v>
      </c>
      <c r="O51" t="s">
        <v>32</v>
      </c>
      <c r="P51" s="4">
        <f t="shared" si="0"/>
        <v>135696.62699999957</v>
      </c>
      <c r="Q51" s="4">
        <f t="shared" si="1"/>
        <v>14467.076999999574</v>
      </c>
      <c r="R51" t="str">
        <f>IF( Table1[[#This Row],[Total Amount after sale]] &gt; 0,"PROFIT","LOSS")</f>
        <v>PROFIT</v>
      </c>
      <c r="S51" s="3">
        <f>(Table1[[#This Row],[Total Amount after sale]]/Table1[[#This Row],[Price after discount]])</f>
        <v>0.10661338693407331</v>
      </c>
    </row>
    <row r="52" spans="1:19" x14ac:dyDescent="0.3">
      <c r="A52">
        <v>1056</v>
      </c>
      <c r="B52" s="1">
        <v>44940</v>
      </c>
      <c r="C52" s="1">
        <f>DATE(YEAR(Table1[[#This Row],[Sale_Date]]), MONTH(Table1[[#This Row],[Sale_Date]]), 1)</f>
        <v>44927</v>
      </c>
      <c r="D52" t="s">
        <v>33</v>
      </c>
      <c r="E52" t="s">
        <v>21</v>
      </c>
      <c r="F52" s="2">
        <v>5720.5</v>
      </c>
      <c r="G52">
        <v>25</v>
      </c>
      <c r="H52" t="s">
        <v>26</v>
      </c>
      <c r="I52" s="2">
        <v>2361.7399999999998</v>
      </c>
      <c r="J52" s="2">
        <v>2584.35</v>
      </c>
      <c r="K52" t="s">
        <v>17</v>
      </c>
      <c r="L52" s="5">
        <v>0.2</v>
      </c>
      <c r="M52" t="s">
        <v>18</v>
      </c>
      <c r="N52" t="s">
        <v>19</v>
      </c>
      <c r="O52" t="s">
        <v>37</v>
      </c>
      <c r="P52" s="4">
        <f t="shared" si="0"/>
        <v>51687</v>
      </c>
      <c r="Q52" s="4">
        <f t="shared" si="1"/>
        <v>-7356.4999999999945</v>
      </c>
      <c r="R52" t="str">
        <f>IF( Table1[[#This Row],[Total Amount after sale]] &gt; 0,"PROFIT","LOSS")</f>
        <v>LOSS</v>
      </c>
      <c r="S52" s="3">
        <f>(Table1[[#This Row],[Total Amount after sale]]/Table1[[#This Row],[Price after discount]])</f>
        <v>-0.14232785806875994</v>
      </c>
    </row>
    <row r="53" spans="1:19" x14ac:dyDescent="0.3">
      <c r="A53">
        <v>1027</v>
      </c>
      <c r="B53" s="1">
        <v>44941</v>
      </c>
      <c r="C53" s="1">
        <f>DATE(YEAR(Table1[[#This Row],[Sale_Date]]), MONTH(Table1[[#This Row],[Sale_Date]]), 1)</f>
        <v>44927</v>
      </c>
      <c r="D53" t="s">
        <v>14</v>
      </c>
      <c r="E53" t="s">
        <v>21</v>
      </c>
      <c r="F53" s="2">
        <v>6261.2</v>
      </c>
      <c r="G53">
        <v>26</v>
      </c>
      <c r="H53" t="s">
        <v>26</v>
      </c>
      <c r="I53" s="2">
        <v>149.11000000000001</v>
      </c>
      <c r="J53" s="2">
        <v>477.67</v>
      </c>
      <c r="K53" t="s">
        <v>17</v>
      </c>
      <c r="L53" s="5">
        <v>0.14000000000000001</v>
      </c>
      <c r="M53" t="s">
        <v>18</v>
      </c>
      <c r="N53" t="s">
        <v>22</v>
      </c>
      <c r="O53" t="s">
        <v>23</v>
      </c>
      <c r="P53" s="4">
        <f t="shared" si="0"/>
        <v>10680.7012</v>
      </c>
      <c r="Q53" s="4">
        <f t="shared" si="1"/>
        <v>6803.8411999999998</v>
      </c>
      <c r="R53" t="str">
        <f>IF( Table1[[#This Row],[Total Amount after sale]] &gt; 0,"PROFIT","LOSS")</f>
        <v>PROFIT</v>
      </c>
      <c r="S53" s="3">
        <f>(Table1[[#This Row],[Total Amount after sale]]/Table1[[#This Row],[Price after discount]])</f>
        <v>0.63702195882045654</v>
      </c>
    </row>
    <row r="54" spans="1:19" x14ac:dyDescent="0.3">
      <c r="A54">
        <v>1042</v>
      </c>
      <c r="B54" s="1">
        <v>44941</v>
      </c>
      <c r="C54" s="1">
        <f>DATE(YEAR(Table1[[#This Row],[Sale_Date]]), MONTH(Table1[[#This Row],[Sale_Date]]), 1)</f>
        <v>44927</v>
      </c>
      <c r="D54" t="s">
        <v>24</v>
      </c>
      <c r="E54" t="s">
        <v>25</v>
      </c>
      <c r="F54" s="2">
        <v>2298.5500000000002</v>
      </c>
      <c r="G54">
        <v>46</v>
      </c>
      <c r="H54" t="s">
        <v>16</v>
      </c>
      <c r="I54" s="2">
        <v>2172.38</v>
      </c>
      <c r="J54" s="2">
        <v>2367.11</v>
      </c>
      <c r="K54" t="s">
        <v>30</v>
      </c>
      <c r="L54" s="5">
        <v>0.16</v>
      </c>
      <c r="M54" t="s">
        <v>18</v>
      </c>
      <c r="N54" t="s">
        <v>22</v>
      </c>
      <c r="O54" t="s">
        <v>28</v>
      </c>
      <c r="P54" s="4">
        <f t="shared" si="0"/>
        <v>91465.130399999995</v>
      </c>
      <c r="Q54" s="4">
        <f t="shared" si="1"/>
        <v>-8464.3496000000068</v>
      </c>
      <c r="R54" t="str">
        <f>IF( Table1[[#This Row],[Total Amount after sale]] &gt; 0,"PROFIT","LOSS")</f>
        <v>LOSS</v>
      </c>
      <c r="S54" s="3">
        <f>(Table1[[#This Row],[Total Amount after sale]]/Table1[[#This Row],[Price after discount]])</f>
        <v>-9.254181963097062E-2</v>
      </c>
    </row>
    <row r="55" spans="1:19" x14ac:dyDescent="0.3">
      <c r="A55">
        <v>1040</v>
      </c>
      <c r="B55" s="1">
        <v>44941</v>
      </c>
      <c r="C55" s="1">
        <f>DATE(YEAR(Table1[[#This Row],[Sale_Date]]), MONTH(Table1[[#This Row],[Sale_Date]]), 1)</f>
        <v>44927</v>
      </c>
      <c r="D55" t="s">
        <v>33</v>
      </c>
      <c r="E55" t="s">
        <v>15</v>
      </c>
      <c r="F55" s="2">
        <v>8601.77</v>
      </c>
      <c r="G55">
        <v>19</v>
      </c>
      <c r="H55" t="s">
        <v>16</v>
      </c>
      <c r="I55" s="2">
        <v>342.3</v>
      </c>
      <c r="J55" s="2">
        <v>768.06</v>
      </c>
      <c r="K55" t="s">
        <v>17</v>
      </c>
      <c r="L55" s="5">
        <v>0.09</v>
      </c>
      <c r="M55" t="s">
        <v>31</v>
      </c>
      <c r="N55" t="s">
        <v>19</v>
      </c>
      <c r="O55" t="s">
        <v>53</v>
      </c>
      <c r="P55" s="4">
        <f t="shared" si="0"/>
        <v>13279.757399999999</v>
      </c>
      <c r="Q55" s="4">
        <f t="shared" si="1"/>
        <v>6776.0573999999988</v>
      </c>
      <c r="R55" t="str">
        <f>IF( Table1[[#This Row],[Total Amount after sale]] &gt; 0,"PROFIT","LOSS")</f>
        <v>PROFIT</v>
      </c>
      <c r="S55" s="3">
        <f>(Table1[[#This Row],[Total Amount after sale]]/Table1[[#This Row],[Price after discount]])</f>
        <v>0.51025460751263418</v>
      </c>
    </row>
    <row r="56" spans="1:19" x14ac:dyDescent="0.3">
      <c r="A56">
        <v>1017</v>
      </c>
      <c r="B56" s="1">
        <v>44941</v>
      </c>
      <c r="C56" s="1">
        <f>DATE(YEAR(Table1[[#This Row],[Sale_Date]]), MONTH(Table1[[#This Row],[Sale_Date]]), 1)</f>
        <v>44927</v>
      </c>
      <c r="D56" t="s">
        <v>38</v>
      </c>
      <c r="E56" t="s">
        <v>15</v>
      </c>
      <c r="F56" s="2">
        <v>289.52999999999997</v>
      </c>
      <c r="G56">
        <v>6</v>
      </c>
      <c r="H56" t="s">
        <v>16</v>
      </c>
      <c r="I56" s="2">
        <v>2594.42</v>
      </c>
      <c r="J56" s="2">
        <v>3081.04</v>
      </c>
      <c r="K56" t="s">
        <v>17</v>
      </c>
      <c r="L56" s="5">
        <v>0.1</v>
      </c>
      <c r="M56" t="s">
        <v>27</v>
      </c>
      <c r="N56" t="s">
        <v>22</v>
      </c>
      <c r="O56" t="s">
        <v>40</v>
      </c>
      <c r="P56" s="4">
        <f t="shared" si="0"/>
        <v>16637.616000000002</v>
      </c>
      <c r="Q56" s="4">
        <f t="shared" si="1"/>
        <v>1071.0960000000005</v>
      </c>
      <c r="R56" t="str">
        <f>IF( Table1[[#This Row],[Total Amount after sale]] &gt; 0,"PROFIT","LOSS")</f>
        <v>PROFIT</v>
      </c>
      <c r="S56" s="3">
        <f>(Table1[[#This Row],[Total Amount after sale]]/Table1[[#This Row],[Price after discount]])</f>
        <v>6.4377973382725051E-2</v>
      </c>
    </row>
    <row r="57" spans="1:19" x14ac:dyDescent="0.3">
      <c r="A57">
        <v>1094</v>
      </c>
      <c r="B57" s="1">
        <v>44941</v>
      </c>
      <c r="C57" s="1">
        <f>DATE(YEAR(Table1[[#This Row],[Sale_Date]]), MONTH(Table1[[#This Row],[Sale_Date]]), 1)</f>
        <v>44927</v>
      </c>
      <c r="D57" t="s">
        <v>14</v>
      </c>
      <c r="E57" t="s">
        <v>15</v>
      </c>
      <c r="F57" s="2">
        <v>8872.33</v>
      </c>
      <c r="G57">
        <v>45</v>
      </c>
      <c r="H57" t="s">
        <v>16</v>
      </c>
      <c r="I57" s="2">
        <v>4470.91</v>
      </c>
      <c r="J57" s="2">
        <v>4695.54</v>
      </c>
      <c r="K57" t="s">
        <v>17</v>
      </c>
      <c r="L57" s="5">
        <v>0.06</v>
      </c>
      <c r="M57" t="s">
        <v>18</v>
      </c>
      <c r="N57" t="s">
        <v>22</v>
      </c>
      <c r="O57" t="s">
        <v>20</v>
      </c>
      <c r="P57" s="4">
        <f t="shared" si="0"/>
        <v>198621.342</v>
      </c>
      <c r="Q57" s="4">
        <f t="shared" si="1"/>
        <v>-2569.6079999999893</v>
      </c>
      <c r="R57" t="str">
        <f>IF( Table1[[#This Row],[Total Amount after sale]] &gt; 0,"PROFIT","LOSS")</f>
        <v>LOSS</v>
      </c>
      <c r="S57" s="3">
        <f>(Table1[[#This Row],[Total Amount after sale]]/Table1[[#This Row],[Price after discount]])</f>
        <v>-1.2937220009317978E-2</v>
      </c>
    </row>
    <row r="58" spans="1:19" x14ac:dyDescent="0.3">
      <c r="A58">
        <v>1034</v>
      </c>
      <c r="B58" s="1">
        <v>44942</v>
      </c>
      <c r="C58" s="1">
        <f>DATE(YEAR(Table1[[#This Row],[Sale_Date]]), MONTH(Table1[[#This Row],[Sale_Date]]), 1)</f>
        <v>44927</v>
      </c>
      <c r="D58" t="s">
        <v>42</v>
      </c>
      <c r="E58" t="s">
        <v>15</v>
      </c>
      <c r="F58" s="2">
        <v>1937.9</v>
      </c>
      <c r="G58">
        <v>13</v>
      </c>
      <c r="H58" t="s">
        <v>16</v>
      </c>
      <c r="I58" s="2">
        <v>366.31</v>
      </c>
      <c r="J58" s="2">
        <v>492.68</v>
      </c>
      <c r="K58" t="s">
        <v>30</v>
      </c>
      <c r="L58" s="5">
        <v>0.12</v>
      </c>
      <c r="M58" t="s">
        <v>31</v>
      </c>
      <c r="N58" t="s">
        <v>22</v>
      </c>
      <c r="O58" t="s">
        <v>49</v>
      </c>
      <c r="P58" s="4">
        <f t="shared" si="0"/>
        <v>5636.2592000000004</v>
      </c>
      <c r="Q58" s="4">
        <f t="shared" si="1"/>
        <v>874.22919999999999</v>
      </c>
      <c r="R58" t="str">
        <f>IF( Table1[[#This Row],[Total Amount after sale]] &gt; 0,"PROFIT","LOSS")</f>
        <v>PROFIT</v>
      </c>
      <c r="S58" s="3">
        <f>(Table1[[#This Row],[Total Amount after sale]]/Table1[[#This Row],[Price after discount]])</f>
        <v>0.15510805464730931</v>
      </c>
    </row>
    <row r="59" spans="1:19" x14ac:dyDescent="0.3">
      <c r="A59">
        <v>1013</v>
      </c>
      <c r="B59" s="1">
        <v>44942</v>
      </c>
      <c r="C59" s="1">
        <f>DATE(YEAR(Table1[[#This Row],[Sale_Date]]), MONTH(Table1[[#This Row],[Sale_Date]]), 1)</f>
        <v>44927</v>
      </c>
      <c r="D59" t="s">
        <v>38</v>
      </c>
      <c r="E59" t="s">
        <v>34</v>
      </c>
      <c r="F59" s="2">
        <v>6769.09</v>
      </c>
      <c r="G59">
        <v>20</v>
      </c>
      <c r="H59" t="s">
        <v>29</v>
      </c>
      <c r="I59" s="2">
        <v>3356.62</v>
      </c>
      <c r="J59" s="2">
        <v>3759.0099999999902</v>
      </c>
      <c r="K59" t="s">
        <v>17</v>
      </c>
      <c r="L59" s="5">
        <v>0.05</v>
      </c>
      <c r="M59" t="s">
        <v>31</v>
      </c>
      <c r="N59" t="s">
        <v>22</v>
      </c>
      <c r="O59" t="s">
        <v>48</v>
      </c>
      <c r="P59" s="4">
        <f t="shared" si="0"/>
        <v>71421.189999999813</v>
      </c>
      <c r="Q59" s="4">
        <f t="shared" si="1"/>
        <v>4288.7899999998172</v>
      </c>
      <c r="R59" t="str">
        <f>IF( Table1[[#This Row],[Total Amount after sale]] &gt; 0,"PROFIT","LOSS")</f>
        <v>PROFIT</v>
      </c>
      <c r="S59" s="3">
        <f>(Table1[[#This Row],[Total Amount after sale]]/Table1[[#This Row],[Price after discount]])</f>
        <v>6.0049265491093448E-2</v>
      </c>
    </row>
    <row r="60" spans="1:19" x14ac:dyDescent="0.3">
      <c r="A60">
        <v>1080</v>
      </c>
      <c r="B60" s="1">
        <v>44943</v>
      </c>
      <c r="C60" s="1">
        <f>DATE(YEAR(Table1[[#This Row],[Sale_Date]]), MONTH(Table1[[#This Row],[Sale_Date]]), 1)</f>
        <v>44927</v>
      </c>
      <c r="D60" t="s">
        <v>14</v>
      </c>
      <c r="E60" t="s">
        <v>25</v>
      </c>
      <c r="F60" s="2">
        <v>4224</v>
      </c>
      <c r="G60">
        <v>47</v>
      </c>
      <c r="H60" t="s">
        <v>16</v>
      </c>
      <c r="I60" s="2">
        <v>4035.33</v>
      </c>
      <c r="J60" s="2">
        <v>4211.25</v>
      </c>
      <c r="K60" t="s">
        <v>17</v>
      </c>
      <c r="L60" s="5">
        <v>7.0000000000000007E-2</v>
      </c>
      <c r="M60" t="s">
        <v>27</v>
      </c>
      <c r="N60" t="s">
        <v>19</v>
      </c>
      <c r="O60" t="s">
        <v>32</v>
      </c>
      <c r="P60" s="4">
        <f t="shared" si="0"/>
        <v>184073.73749999999</v>
      </c>
      <c r="Q60" s="4">
        <f t="shared" si="1"/>
        <v>-5586.7725000000137</v>
      </c>
      <c r="R60" t="str">
        <f>IF( Table1[[#This Row],[Total Amount after sale]] &gt; 0,"PROFIT","LOSS")</f>
        <v>LOSS</v>
      </c>
      <c r="S60" s="3">
        <f>(Table1[[#This Row],[Total Amount after sale]]/Table1[[#This Row],[Price after discount]])</f>
        <v>-3.0350731048746235E-2</v>
      </c>
    </row>
    <row r="61" spans="1:19" x14ac:dyDescent="0.3">
      <c r="A61">
        <v>1060</v>
      </c>
      <c r="B61" s="1">
        <v>44943</v>
      </c>
      <c r="C61" s="1">
        <f>DATE(YEAR(Table1[[#This Row],[Sale_Date]]), MONTH(Table1[[#This Row],[Sale_Date]]), 1)</f>
        <v>44927</v>
      </c>
      <c r="D61" t="s">
        <v>14</v>
      </c>
      <c r="E61" t="s">
        <v>25</v>
      </c>
      <c r="F61" s="2">
        <v>2747.28</v>
      </c>
      <c r="G61">
        <v>3</v>
      </c>
      <c r="H61" t="s">
        <v>35</v>
      </c>
      <c r="I61" s="2">
        <v>1190.4100000000001</v>
      </c>
      <c r="J61" s="2">
        <v>1582.89</v>
      </c>
      <c r="K61" t="s">
        <v>30</v>
      </c>
      <c r="L61" s="5">
        <v>0.02</v>
      </c>
      <c r="M61" t="s">
        <v>31</v>
      </c>
      <c r="N61" t="s">
        <v>22</v>
      </c>
      <c r="O61" t="s">
        <v>32</v>
      </c>
      <c r="P61" s="4">
        <f t="shared" si="0"/>
        <v>4653.6966000000002</v>
      </c>
      <c r="Q61" s="4">
        <f t="shared" si="1"/>
        <v>1082.4666000000002</v>
      </c>
      <c r="R61" t="str">
        <f>IF( Table1[[#This Row],[Total Amount after sale]] &gt; 0,"PROFIT","LOSS")</f>
        <v>PROFIT</v>
      </c>
      <c r="S61" s="3">
        <f>(Table1[[#This Row],[Total Amount after sale]]/Table1[[#This Row],[Price after discount]])</f>
        <v>0.23260360376737929</v>
      </c>
    </row>
    <row r="62" spans="1:19" x14ac:dyDescent="0.3">
      <c r="A62">
        <v>1009</v>
      </c>
      <c r="B62" s="1">
        <v>44943</v>
      </c>
      <c r="C62" s="1">
        <f>DATE(YEAR(Table1[[#This Row],[Sale_Date]]), MONTH(Table1[[#This Row],[Sale_Date]]), 1)</f>
        <v>44927</v>
      </c>
      <c r="D62" t="s">
        <v>24</v>
      </c>
      <c r="E62" t="s">
        <v>21</v>
      </c>
      <c r="F62" s="2">
        <v>8401.07</v>
      </c>
      <c r="G62">
        <v>12</v>
      </c>
      <c r="H62" t="s">
        <v>16</v>
      </c>
      <c r="I62" s="2">
        <v>2278.67</v>
      </c>
      <c r="J62" s="2">
        <v>2476.8000000000002</v>
      </c>
      <c r="K62" t="s">
        <v>30</v>
      </c>
      <c r="L62" s="5">
        <v>0.09</v>
      </c>
      <c r="M62" t="s">
        <v>18</v>
      </c>
      <c r="N62" t="s">
        <v>22</v>
      </c>
      <c r="O62" t="s">
        <v>47</v>
      </c>
      <c r="P62" s="4">
        <f t="shared" si="0"/>
        <v>27046.656000000003</v>
      </c>
      <c r="Q62" s="4">
        <f t="shared" si="1"/>
        <v>-297.38399999999638</v>
      </c>
      <c r="R62" t="str">
        <f>IF( Table1[[#This Row],[Total Amount after sale]] &gt; 0,"PROFIT","LOSS")</f>
        <v>LOSS</v>
      </c>
      <c r="S62" s="3">
        <f>(Table1[[#This Row],[Total Amount after sale]]/Table1[[#This Row],[Price after discount]])</f>
        <v>-1.0995222477780483E-2</v>
      </c>
    </row>
    <row r="63" spans="1:19" x14ac:dyDescent="0.3">
      <c r="A63">
        <v>1016</v>
      </c>
      <c r="B63" s="1">
        <v>44943</v>
      </c>
      <c r="C63" s="1">
        <f>DATE(YEAR(Table1[[#This Row],[Sale_Date]]), MONTH(Table1[[#This Row],[Sale_Date]]), 1)</f>
        <v>44927</v>
      </c>
      <c r="D63" t="s">
        <v>38</v>
      </c>
      <c r="E63" t="s">
        <v>21</v>
      </c>
      <c r="F63" s="2">
        <v>4598.0200000000004</v>
      </c>
      <c r="G63">
        <v>21</v>
      </c>
      <c r="H63" t="s">
        <v>35</v>
      </c>
      <c r="I63" s="2">
        <v>2863.74</v>
      </c>
      <c r="J63" s="2">
        <v>2953.91</v>
      </c>
      <c r="K63" t="s">
        <v>30</v>
      </c>
      <c r="L63" s="5">
        <v>0.1</v>
      </c>
      <c r="M63" t="s">
        <v>27</v>
      </c>
      <c r="N63" t="s">
        <v>22</v>
      </c>
      <c r="O63" t="s">
        <v>41</v>
      </c>
      <c r="P63" s="4">
        <f t="shared" si="0"/>
        <v>55828.898999999998</v>
      </c>
      <c r="Q63" s="4">
        <f t="shared" si="1"/>
        <v>-4309.6409999999996</v>
      </c>
      <c r="R63" t="str">
        <f>IF( Table1[[#This Row],[Total Amount after sale]] &gt; 0,"PROFIT","LOSS")</f>
        <v>LOSS</v>
      </c>
      <c r="S63" s="3">
        <f>(Table1[[#This Row],[Total Amount after sale]]/Table1[[#This Row],[Price after discount]])</f>
        <v>-7.7193730795228468E-2</v>
      </c>
    </row>
    <row r="64" spans="1:19" x14ac:dyDescent="0.3">
      <c r="A64">
        <v>1076</v>
      </c>
      <c r="B64" s="1">
        <v>44943</v>
      </c>
      <c r="C64" s="1">
        <f>DATE(YEAR(Table1[[#This Row],[Sale_Date]]), MONTH(Table1[[#This Row],[Sale_Date]]), 1)</f>
        <v>44927</v>
      </c>
      <c r="D64" t="s">
        <v>33</v>
      </c>
      <c r="E64" t="s">
        <v>25</v>
      </c>
      <c r="F64" s="2">
        <v>8464.23</v>
      </c>
      <c r="G64">
        <v>16</v>
      </c>
      <c r="H64" t="s">
        <v>29</v>
      </c>
      <c r="I64" s="2">
        <v>1964.15</v>
      </c>
      <c r="J64" s="2">
        <v>2211.17</v>
      </c>
      <c r="K64" t="s">
        <v>17</v>
      </c>
      <c r="L64" s="5">
        <v>0.21</v>
      </c>
      <c r="M64" t="s">
        <v>27</v>
      </c>
      <c r="N64" t="s">
        <v>19</v>
      </c>
      <c r="O64" t="s">
        <v>44</v>
      </c>
      <c r="P64" s="4">
        <f t="shared" si="0"/>
        <v>27949.188800000004</v>
      </c>
      <c r="Q64" s="4">
        <f t="shared" si="1"/>
        <v>-3477.2111999999979</v>
      </c>
      <c r="R64" t="str">
        <f>IF( Table1[[#This Row],[Total Amount after sale]] &gt; 0,"PROFIT","LOSS")</f>
        <v>LOSS</v>
      </c>
      <c r="S64" s="3">
        <f>(Table1[[#This Row],[Total Amount after sale]]/Table1[[#This Row],[Price after discount]])</f>
        <v>-0.1244118827520317</v>
      </c>
    </row>
    <row r="65" spans="1:19" x14ac:dyDescent="0.3">
      <c r="A65">
        <v>1029</v>
      </c>
      <c r="B65" s="1">
        <v>44943</v>
      </c>
      <c r="C65" s="1">
        <f>DATE(YEAR(Table1[[#This Row],[Sale_Date]]), MONTH(Table1[[#This Row],[Sale_Date]]), 1)</f>
        <v>44927</v>
      </c>
      <c r="D65" t="s">
        <v>33</v>
      </c>
      <c r="E65" t="s">
        <v>15</v>
      </c>
      <c r="F65" s="2">
        <v>6275.06</v>
      </c>
      <c r="G65">
        <v>31</v>
      </c>
      <c r="H65" t="s">
        <v>35</v>
      </c>
      <c r="I65" s="2">
        <v>2719</v>
      </c>
      <c r="J65" s="2">
        <v>3133.55</v>
      </c>
      <c r="K65" t="s">
        <v>17</v>
      </c>
      <c r="L65" s="5">
        <v>0.17</v>
      </c>
      <c r="M65" t="s">
        <v>27</v>
      </c>
      <c r="N65" t="s">
        <v>22</v>
      </c>
      <c r="O65" t="s">
        <v>53</v>
      </c>
      <c r="P65" s="4">
        <f t="shared" si="0"/>
        <v>80626.241500000004</v>
      </c>
      <c r="Q65" s="4">
        <f t="shared" si="1"/>
        <v>-3662.7584999999967</v>
      </c>
      <c r="R65" t="str">
        <f>IF( Table1[[#This Row],[Total Amount after sale]] &gt; 0,"PROFIT","LOSS")</f>
        <v>LOSS</v>
      </c>
      <c r="S65" s="3">
        <f>(Table1[[#This Row],[Total Amount after sale]]/Table1[[#This Row],[Price after discount]])</f>
        <v>-4.5428863256635824E-2</v>
      </c>
    </row>
    <row r="66" spans="1:19" x14ac:dyDescent="0.3">
      <c r="A66">
        <v>1080</v>
      </c>
      <c r="B66" s="1">
        <v>44944</v>
      </c>
      <c r="C66" s="1">
        <f>DATE(YEAR(Table1[[#This Row],[Sale_Date]]), MONTH(Table1[[#This Row],[Sale_Date]]), 1)</f>
        <v>44927</v>
      </c>
      <c r="D66" t="s">
        <v>33</v>
      </c>
      <c r="E66" t="s">
        <v>34</v>
      </c>
      <c r="F66" s="2">
        <v>5138.0200000000004</v>
      </c>
      <c r="G66">
        <v>44</v>
      </c>
      <c r="H66" t="s">
        <v>35</v>
      </c>
      <c r="I66" s="2">
        <v>1763.67</v>
      </c>
      <c r="J66" s="2">
        <v>1983.82</v>
      </c>
      <c r="K66" t="s">
        <v>30</v>
      </c>
      <c r="L66" s="5">
        <v>0.24</v>
      </c>
      <c r="M66" t="s">
        <v>31</v>
      </c>
      <c r="N66" t="s">
        <v>19</v>
      </c>
      <c r="O66" t="s">
        <v>36</v>
      </c>
      <c r="P66" s="4">
        <f t="shared" ref="P66:P129" si="2" xml:space="preserve"> J66 * (1 - L66) * G66</f>
        <v>66338.940799999997</v>
      </c>
      <c r="Q66" s="4">
        <f t="shared" ref="Q66:Q129" si="3" xml:space="preserve"> (J66 * (1 - L66) - I66) * G66</f>
        <v>-11262.539200000007</v>
      </c>
      <c r="R66" t="str">
        <f>IF( Table1[[#This Row],[Total Amount after sale]] &gt; 0,"PROFIT","LOSS")</f>
        <v>LOSS</v>
      </c>
      <c r="S66" s="3">
        <f>(Table1[[#This Row],[Total Amount after sale]]/Table1[[#This Row],[Price after discount]])</f>
        <v>-0.16977267143825134</v>
      </c>
    </row>
    <row r="67" spans="1:19" x14ac:dyDescent="0.3">
      <c r="A67">
        <v>1048</v>
      </c>
      <c r="B67" s="1">
        <v>44945</v>
      </c>
      <c r="C67" s="1">
        <f>DATE(YEAR(Table1[[#This Row],[Sale_Date]]), MONTH(Table1[[#This Row],[Sale_Date]]), 1)</f>
        <v>44927</v>
      </c>
      <c r="D67" t="s">
        <v>14</v>
      </c>
      <c r="E67" t="s">
        <v>21</v>
      </c>
      <c r="F67" s="2">
        <v>5187.16</v>
      </c>
      <c r="G67">
        <v>7</v>
      </c>
      <c r="H67" t="s">
        <v>29</v>
      </c>
      <c r="I67" s="2">
        <v>4310.95</v>
      </c>
      <c r="J67" s="2">
        <v>4723.2</v>
      </c>
      <c r="K67" t="s">
        <v>17</v>
      </c>
      <c r="L67" s="5">
        <v>0.05</v>
      </c>
      <c r="M67" t="s">
        <v>31</v>
      </c>
      <c r="N67" t="s">
        <v>22</v>
      </c>
      <c r="O67" t="s">
        <v>23</v>
      </c>
      <c r="P67" s="4">
        <f t="shared" si="2"/>
        <v>31409.279999999999</v>
      </c>
      <c r="Q67" s="4">
        <f t="shared" si="3"/>
        <v>1232.630000000001</v>
      </c>
      <c r="R67" t="str">
        <f>IF( Table1[[#This Row],[Total Amount after sale]] &gt; 0,"PROFIT","LOSS")</f>
        <v>PROFIT</v>
      </c>
      <c r="S67" s="3">
        <f>(Table1[[#This Row],[Total Amount after sale]]/Table1[[#This Row],[Price after discount]])</f>
        <v>3.9244134217658003E-2</v>
      </c>
    </row>
    <row r="68" spans="1:19" x14ac:dyDescent="0.3">
      <c r="A68">
        <v>1092</v>
      </c>
      <c r="B68" s="1">
        <v>44946</v>
      </c>
      <c r="C68" s="1">
        <f>DATE(YEAR(Table1[[#This Row],[Sale_Date]]), MONTH(Table1[[#This Row],[Sale_Date]]), 1)</f>
        <v>44927</v>
      </c>
      <c r="D68" t="s">
        <v>33</v>
      </c>
      <c r="E68" t="s">
        <v>34</v>
      </c>
      <c r="F68" s="2">
        <v>2729.27</v>
      </c>
      <c r="G68">
        <v>40</v>
      </c>
      <c r="H68" t="s">
        <v>35</v>
      </c>
      <c r="I68" s="2">
        <v>4624.16</v>
      </c>
      <c r="J68" s="2">
        <v>4731.9799999999996</v>
      </c>
      <c r="K68" t="s">
        <v>30</v>
      </c>
      <c r="L68" s="5">
        <v>0.2</v>
      </c>
      <c r="M68" t="s">
        <v>27</v>
      </c>
      <c r="N68" t="s">
        <v>22</v>
      </c>
      <c r="O68" t="s">
        <v>36</v>
      </c>
      <c r="P68" s="4">
        <f t="shared" si="2"/>
        <v>151423.35999999999</v>
      </c>
      <c r="Q68" s="4">
        <f t="shared" si="3"/>
        <v>-33543.040000000001</v>
      </c>
      <c r="R68" t="str">
        <f>IF( Table1[[#This Row],[Total Amount after sale]] &gt; 0,"PROFIT","LOSS")</f>
        <v>LOSS</v>
      </c>
      <c r="S68" s="3">
        <f>(Table1[[#This Row],[Total Amount after sale]]/Table1[[#This Row],[Price after discount]])</f>
        <v>-0.22151826508142472</v>
      </c>
    </row>
    <row r="69" spans="1:19" x14ac:dyDescent="0.3">
      <c r="A69">
        <v>1046</v>
      </c>
      <c r="B69" s="1">
        <v>44946</v>
      </c>
      <c r="C69" s="1">
        <f>DATE(YEAR(Table1[[#This Row],[Sale_Date]]), MONTH(Table1[[#This Row],[Sale_Date]]), 1)</f>
        <v>44927</v>
      </c>
      <c r="D69" t="s">
        <v>38</v>
      </c>
      <c r="E69" t="s">
        <v>34</v>
      </c>
      <c r="F69" s="2">
        <v>4104.82</v>
      </c>
      <c r="G69">
        <v>43</v>
      </c>
      <c r="H69" t="s">
        <v>29</v>
      </c>
      <c r="I69" s="2">
        <v>4052.42</v>
      </c>
      <c r="J69" s="2">
        <v>4199.3</v>
      </c>
      <c r="K69" t="s">
        <v>30</v>
      </c>
      <c r="L69" s="5">
        <v>0.1</v>
      </c>
      <c r="M69" t="s">
        <v>27</v>
      </c>
      <c r="N69" t="s">
        <v>22</v>
      </c>
      <c r="O69" t="s">
        <v>48</v>
      </c>
      <c r="P69" s="4">
        <f t="shared" si="2"/>
        <v>162512.91</v>
      </c>
      <c r="Q69" s="4">
        <f t="shared" si="3"/>
        <v>-11741.149999999989</v>
      </c>
      <c r="R69" t="str">
        <f>IF( Table1[[#This Row],[Total Amount after sale]] &gt; 0,"PROFIT","LOSS")</f>
        <v>LOSS</v>
      </c>
      <c r="S69" s="3">
        <f>(Table1[[#This Row],[Total Amount after sale]]/Table1[[#This Row],[Price after discount]])</f>
        <v>-7.2247490983946991E-2</v>
      </c>
    </row>
    <row r="70" spans="1:19" x14ac:dyDescent="0.3">
      <c r="A70">
        <v>1053</v>
      </c>
      <c r="B70" s="1">
        <v>44946</v>
      </c>
      <c r="C70" s="1">
        <f>DATE(YEAR(Table1[[#This Row],[Sale_Date]]), MONTH(Table1[[#This Row],[Sale_Date]]), 1)</f>
        <v>44927</v>
      </c>
      <c r="D70" t="s">
        <v>24</v>
      </c>
      <c r="E70" t="s">
        <v>21</v>
      </c>
      <c r="F70" s="2">
        <v>8785.77</v>
      </c>
      <c r="G70">
        <v>42</v>
      </c>
      <c r="H70" t="s">
        <v>16</v>
      </c>
      <c r="I70" s="2">
        <v>2443.5700000000002</v>
      </c>
      <c r="J70" s="2">
        <v>2943.31</v>
      </c>
      <c r="K70" t="s">
        <v>30</v>
      </c>
      <c r="L70" s="5">
        <v>0.28999999999999998</v>
      </c>
      <c r="M70" t="s">
        <v>18</v>
      </c>
      <c r="N70" t="s">
        <v>19</v>
      </c>
      <c r="O70" t="s">
        <v>47</v>
      </c>
      <c r="P70" s="4">
        <f t="shared" si="2"/>
        <v>87769.504199999996</v>
      </c>
      <c r="Q70" s="4">
        <f t="shared" si="3"/>
        <v>-14860.435800000017</v>
      </c>
      <c r="R70" t="str">
        <f>IF( Table1[[#This Row],[Total Amount after sale]] &gt; 0,"PROFIT","LOSS")</f>
        <v>LOSS</v>
      </c>
      <c r="S70" s="3">
        <f>(Table1[[#This Row],[Total Amount after sale]]/Table1[[#This Row],[Price after discount]])</f>
        <v>-0.16931206271984409</v>
      </c>
    </row>
    <row r="71" spans="1:19" x14ac:dyDescent="0.3">
      <c r="A71">
        <v>1017</v>
      </c>
      <c r="B71" s="1">
        <v>44946</v>
      </c>
      <c r="C71" s="1">
        <f>DATE(YEAR(Table1[[#This Row],[Sale_Date]]), MONTH(Table1[[#This Row],[Sale_Date]]), 1)</f>
        <v>44927</v>
      </c>
      <c r="D71" t="s">
        <v>14</v>
      </c>
      <c r="E71" t="s">
        <v>34</v>
      </c>
      <c r="F71" s="2">
        <v>496.59</v>
      </c>
      <c r="G71">
        <v>29</v>
      </c>
      <c r="H71" t="s">
        <v>29</v>
      </c>
      <c r="I71" s="2">
        <v>3410.49</v>
      </c>
      <c r="J71" s="2">
        <v>3481.72</v>
      </c>
      <c r="K71" t="s">
        <v>30</v>
      </c>
      <c r="L71" s="5">
        <v>0.24</v>
      </c>
      <c r="M71" t="s">
        <v>27</v>
      </c>
      <c r="N71" t="s">
        <v>22</v>
      </c>
      <c r="O71" t="s">
        <v>46</v>
      </c>
      <c r="P71" s="4">
        <f t="shared" si="2"/>
        <v>76737.108800000002</v>
      </c>
      <c r="Q71" s="4">
        <f t="shared" si="3"/>
        <v>-22167.101199999997</v>
      </c>
      <c r="R71" t="str">
        <f>IF( Table1[[#This Row],[Total Amount after sale]] &gt; 0,"PROFIT","LOSS")</f>
        <v>LOSS</v>
      </c>
      <c r="S71" s="3">
        <f>(Table1[[#This Row],[Total Amount after sale]]/Table1[[#This Row],[Price after discount]])</f>
        <v>-0.28887068520882292</v>
      </c>
    </row>
    <row r="72" spans="1:19" x14ac:dyDescent="0.3">
      <c r="A72">
        <v>1003</v>
      </c>
      <c r="B72" s="1">
        <v>44947</v>
      </c>
      <c r="C72" s="1">
        <f>DATE(YEAR(Table1[[#This Row],[Sale_Date]]), MONTH(Table1[[#This Row],[Sale_Date]]), 1)</f>
        <v>44927</v>
      </c>
      <c r="D72" t="s">
        <v>33</v>
      </c>
      <c r="E72" t="s">
        <v>15</v>
      </c>
      <c r="F72" s="2">
        <v>6395.81</v>
      </c>
      <c r="G72">
        <v>3</v>
      </c>
      <c r="H72" t="s">
        <v>16</v>
      </c>
      <c r="I72" s="2">
        <v>1792.05</v>
      </c>
      <c r="J72" s="2">
        <v>2091.23</v>
      </c>
      <c r="K72" t="s">
        <v>17</v>
      </c>
      <c r="L72" s="5">
        <v>0.09</v>
      </c>
      <c r="M72" t="s">
        <v>18</v>
      </c>
      <c r="N72" t="s">
        <v>22</v>
      </c>
      <c r="O72" t="s">
        <v>53</v>
      </c>
      <c r="P72" s="4">
        <f t="shared" si="2"/>
        <v>5709.0579000000007</v>
      </c>
      <c r="Q72" s="4">
        <f t="shared" si="3"/>
        <v>332.90790000000061</v>
      </c>
      <c r="R72" t="str">
        <f>IF( Table1[[#This Row],[Total Amount after sale]] &gt; 0,"PROFIT","LOSS")</f>
        <v>PROFIT</v>
      </c>
      <c r="S72" s="3">
        <f>(Table1[[#This Row],[Total Amount after sale]]/Table1[[#This Row],[Price after discount]])</f>
        <v>5.8312230464504587E-2</v>
      </c>
    </row>
    <row r="73" spans="1:19" x14ac:dyDescent="0.3">
      <c r="A73">
        <v>1035</v>
      </c>
      <c r="B73" s="1">
        <v>44948</v>
      </c>
      <c r="C73" s="1">
        <f>DATE(YEAR(Table1[[#This Row],[Sale_Date]]), MONTH(Table1[[#This Row],[Sale_Date]]), 1)</f>
        <v>44927</v>
      </c>
      <c r="D73" t="s">
        <v>42</v>
      </c>
      <c r="E73" t="s">
        <v>15</v>
      </c>
      <c r="F73" s="2">
        <v>8387.48</v>
      </c>
      <c r="G73">
        <v>28</v>
      </c>
      <c r="H73" t="s">
        <v>16</v>
      </c>
      <c r="I73" s="2">
        <v>3771.38</v>
      </c>
      <c r="J73" s="2">
        <v>4234.92</v>
      </c>
      <c r="K73" t="s">
        <v>30</v>
      </c>
      <c r="L73" s="5">
        <v>0.28000000000000003</v>
      </c>
      <c r="M73" t="s">
        <v>31</v>
      </c>
      <c r="N73" t="s">
        <v>22</v>
      </c>
      <c r="O73" t="s">
        <v>49</v>
      </c>
      <c r="P73" s="4">
        <f t="shared" si="2"/>
        <v>85375.987199999989</v>
      </c>
      <c r="Q73" s="4">
        <f t="shared" si="3"/>
        <v>-20222.652800000011</v>
      </c>
      <c r="R73" t="str">
        <f>IF( Table1[[#This Row],[Total Amount after sale]] &gt; 0,"PROFIT","LOSS")</f>
        <v>LOSS</v>
      </c>
      <c r="S73" s="3">
        <f>(Table1[[#This Row],[Total Amount after sale]]/Table1[[#This Row],[Price after discount]])</f>
        <v>-0.23686581512231128</v>
      </c>
    </row>
    <row r="74" spans="1:19" x14ac:dyDescent="0.3">
      <c r="A74">
        <v>1006</v>
      </c>
      <c r="B74" s="1">
        <v>44948</v>
      </c>
      <c r="C74" s="1">
        <f>DATE(YEAR(Table1[[#This Row],[Sale_Date]]), MONTH(Table1[[#This Row],[Sale_Date]]), 1)</f>
        <v>44927</v>
      </c>
      <c r="D74" t="s">
        <v>42</v>
      </c>
      <c r="E74" t="s">
        <v>25</v>
      </c>
      <c r="F74" s="2">
        <v>5053.5600000000004</v>
      </c>
      <c r="G74">
        <v>29</v>
      </c>
      <c r="H74" t="s">
        <v>35</v>
      </c>
      <c r="I74" s="2">
        <v>4353.29</v>
      </c>
      <c r="J74" s="2">
        <v>4405.8</v>
      </c>
      <c r="K74" t="s">
        <v>30</v>
      </c>
      <c r="L74" s="5">
        <v>0.04</v>
      </c>
      <c r="M74" t="s">
        <v>27</v>
      </c>
      <c r="N74" t="s">
        <v>19</v>
      </c>
      <c r="O74" t="s">
        <v>43</v>
      </c>
      <c r="P74" s="4">
        <f t="shared" si="2"/>
        <v>122657.47200000001</v>
      </c>
      <c r="Q74" s="4">
        <f t="shared" si="3"/>
        <v>-3587.9379999999928</v>
      </c>
      <c r="R74" t="str">
        <f>IF( Table1[[#This Row],[Total Amount after sale]] &gt; 0,"PROFIT","LOSS")</f>
        <v>LOSS</v>
      </c>
      <c r="S74" s="3">
        <f>(Table1[[#This Row],[Total Amount after sale]]/Table1[[#This Row],[Price after discount]])</f>
        <v>-2.925168716994259E-2</v>
      </c>
    </row>
    <row r="75" spans="1:19" x14ac:dyDescent="0.3">
      <c r="A75">
        <v>1045</v>
      </c>
      <c r="B75" s="1">
        <v>44948</v>
      </c>
      <c r="C75" s="1">
        <f>DATE(YEAR(Table1[[#This Row],[Sale_Date]]), MONTH(Table1[[#This Row],[Sale_Date]]), 1)</f>
        <v>44927</v>
      </c>
      <c r="D75" t="s">
        <v>14</v>
      </c>
      <c r="E75" t="s">
        <v>34</v>
      </c>
      <c r="F75" s="2">
        <v>4594.5</v>
      </c>
      <c r="G75">
        <v>46</v>
      </c>
      <c r="H75" t="s">
        <v>26</v>
      </c>
      <c r="I75" s="2">
        <v>2577.08</v>
      </c>
      <c r="J75" s="2">
        <v>2961.56</v>
      </c>
      <c r="K75" t="s">
        <v>17</v>
      </c>
      <c r="L75" s="5">
        <v>0.1</v>
      </c>
      <c r="M75" t="s">
        <v>18</v>
      </c>
      <c r="N75" t="s">
        <v>19</v>
      </c>
      <c r="O75" t="s">
        <v>46</v>
      </c>
      <c r="P75" s="4">
        <f t="shared" si="2"/>
        <v>122608.584</v>
      </c>
      <c r="Q75" s="4">
        <f t="shared" si="3"/>
        <v>4062.9040000000032</v>
      </c>
      <c r="R75" t="str">
        <f>IF( Table1[[#This Row],[Total Amount after sale]] &gt; 0,"PROFIT","LOSS")</f>
        <v>PROFIT</v>
      </c>
      <c r="S75" s="3">
        <f>(Table1[[#This Row],[Total Amount after sale]]/Table1[[#This Row],[Price after discount]])</f>
        <v>3.3137190459682685E-2</v>
      </c>
    </row>
    <row r="76" spans="1:19" x14ac:dyDescent="0.3">
      <c r="A76">
        <v>1037</v>
      </c>
      <c r="B76" s="1">
        <v>44949</v>
      </c>
      <c r="C76" s="1">
        <f>DATE(YEAR(Table1[[#This Row],[Sale_Date]]), MONTH(Table1[[#This Row],[Sale_Date]]), 1)</f>
        <v>44927</v>
      </c>
      <c r="D76" t="s">
        <v>14</v>
      </c>
      <c r="E76" t="s">
        <v>15</v>
      </c>
      <c r="F76" s="2">
        <v>9813.81</v>
      </c>
      <c r="G76">
        <v>40</v>
      </c>
      <c r="H76" t="s">
        <v>29</v>
      </c>
      <c r="I76" s="2">
        <v>2790.11</v>
      </c>
      <c r="J76" s="2">
        <v>3192.37</v>
      </c>
      <c r="K76" t="s">
        <v>17</v>
      </c>
      <c r="L76" s="5">
        <v>0.26</v>
      </c>
      <c r="M76" t="s">
        <v>27</v>
      </c>
      <c r="N76" t="s">
        <v>19</v>
      </c>
      <c r="O76" t="s">
        <v>20</v>
      </c>
      <c r="P76" s="4">
        <f t="shared" si="2"/>
        <v>94494.152000000002</v>
      </c>
      <c r="Q76" s="4">
        <f t="shared" si="3"/>
        <v>-17110.248000000011</v>
      </c>
      <c r="R76" t="str">
        <f>IF( Table1[[#This Row],[Total Amount after sale]] &gt; 0,"PROFIT","LOSS")</f>
        <v>LOSS</v>
      </c>
      <c r="S76" s="3">
        <f>(Table1[[#This Row],[Total Amount after sale]]/Table1[[#This Row],[Price after discount]])</f>
        <v>-0.18107203078556661</v>
      </c>
    </row>
    <row r="77" spans="1:19" x14ac:dyDescent="0.3">
      <c r="A77">
        <v>1037</v>
      </c>
      <c r="B77" s="1">
        <v>44949</v>
      </c>
      <c r="C77" s="1">
        <f>DATE(YEAR(Table1[[#This Row],[Sale_Date]]), MONTH(Table1[[#This Row],[Sale_Date]]), 1)</f>
        <v>44927</v>
      </c>
      <c r="D77" t="s">
        <v>33</v>
      </c>
      <c r="E77" t="s">
        <v>34</v>
      </c>
      <c r="F77" s="2">
        <v>3649.93</v>
      </c>
      <c r="G77">
        <v>25</v>
      </c>
      <c r="H77" t="s">
        <v>26</v>
      </c>
      <c r="I77" s="2">
        <v>1074.6199999999999</v>
      </c>
      <c r="J77" s="2">
        <v>1382.4299999999901</v>
      </c>
      <c r="K77" t="s">
        <v>17</v>
      </c>
      <c r="L77" s="5">
        <v>0.24</v>
      </c>
      <c r="M77" t="s">
        <v>31</v>
      </c>
      <c r="N77" t="s">
        <v>22</v>
      </c>
      <c r="O77" t="s">
        <v>36</v>
      </c>
      <c r="P77" s="4">
        <f t="shared" si="2"/>
        <v>26266.169999999813</v>
      </c>
      <c r="Q77" s="4">
        <f t="shared" si="3"/>
        <v>-599.33000000018524</v>
      </c>
      <c r="R77" t="str">
        <f>IF( Table1[[#This Row],[Total Amount after sale]] &gt; 0,"PROFIT","LOSS")</f>
        <v>LOSS</v>
      </c>
      <c r="S77" s="3">
        <f>(Table1[[#This Row],[Total Amount after sale]]/Table1[[#This Row],[Price after discount]])</f>
        <v>-2.2817563428554278E-2</v>
      </c>
    </row>
    <row r="78" spans="1:19" x14ac:dyDescent="0.3">
      <c r="A78">
        <v>1018</v>
      </c>
      <c r="B78" s="1">
        <v>44949</v>
      </c>
      <c r="C78" s="1">
        <f>DATE(YEAR(Table1[[#This Row],[Sale_Date]]), MONTH(Table1[[#This Row],[Sale_Date]]), 1)</f>
        <v>44927</v>
      </c>
      <c r="D78" t="s">
        <v>24</v>
      </c>
      <c r="E78" t="s">
        <v>15</v>
      </c>
      <c r="F78" s="2">
        <v>7019.59</v>
      </c>
      <c r="G78">
        <v>20</v>
      </c>
      <c r="H78" t="s">
        <v>16</v>
      </c>
      <c r="I78" s="2">
        <v>1140.6199999999999</v>
      </c>
      <c r="J78" s="2">
        <v>1258.6299999999901</v>
      </c>
      <c r="K78" t="s">
        <v>17</v>
      </c>
      <c r="L78" s="5">
        <v>0.26</v>
      </c>
      <c r="M78" t="s">
        <v>27</v>
      </c>
      <c r="N78" t="s">
        <v>19</v>
      </c>
      <c r="O78" t="s">
        <v>45</v>
      </c>
      <c r="P78" s="4">
        <f t="shared" si="2"/>
        <v>18627.723999999853</v>
      </c>
      <c r="Q78" s="4">
        <f t="shared" si="3"/>
        <v>-4184.676000000145</v>
      </c>
      <c r="R78" t="str">
        <f>IF( Table1[[#This Row],[Total Amount after sale]] &gt; 0,"PROFIT","LOSS")</f>
        <v>LOSS</v>
      </c>
      <c r="S78" s="3">
        <f>(Table1[[#This Row],[Total Amount after sale]]/Table1[[#This Row],[Price after discount]])</f>
        <v>-0.22464773474205318</v>
      </c>
    </row>
    <row r="79" spans="1:19" x14ac:dyDescent="0.3">
      <c r="A79">
        <v>1054</v>
      </c>
      <c r="B79" s="1">
        <v>44950</v>
      </c>
      <c r="C79" s="1">
        <f>DATE(YEAR(Table1[[#This Row],[Sale_Date]]), MONTH(Table1[[#This Row],[Sale_Date]]), 1)</f>
        <v>44927</v>
      </c>
      <c r="D79" t="s">
        <v>14</v>
      </c>
      <c r="E79" t="s">
        <v>34</v>
      </c>
      <c r="F79" s="2">
        <v>6624.55</v>
      </c>
      <c r="G79">
        <v>22</v>
      </c>
      <c r="H79" t="s">
        <v>35</v>
      </c>
      <c r="I79" s="2">
        <v>4200.08</v>
      </c>
      <c r="J79" s="2">
        <v>4647.28</v>
      </c>
      <c r="K79" t="s">
        <v>17</v>
      </c>
      <c r="L79" s="5">
        <v>0.11</v>
      </c>
      <c r="M79" t="s">
        <v>18</v>
      </c>
      <c r="N79" t="s">
        <v>19</v>
      </c>
      <c r="O79" t="s">
        <v>46</v>
      </c>
      <c r="P79" s="4">
        <f t="shared" si="2"/>
        <v>90993.742400000003</v>
      </c>
      <c r="Q79" s="4">
        <f t="shared" si="3"/>
        <v>-1408.0175999999956</v>
      </c>
      <c r="R79" t="str">
        <f>IF( Table1[[#This Row],[Total Amount after sale]] &gt; 0,"PROFIT","LOSS")</f>
        <v>LOSS</v>
      </c>
      <c r="S79" s="3">
        <f>(Table1[[#This Row],[Total Amount after sale]]/Table1[[#This Row],[Price after discount]])</f>
        <v>-1.5473784931391014E-2</v>
      </c>
    </row>
    <row r="80" spans="1:19" x14ac:dyDescent="0.3">
      <c r="A80">
        <v>1017</v>
      </c>
      <c r="B80" s="1">
        <v>44950</v>
      </c>
      <c r="C80" s="1">
        <f>DATE(YEAR(Table1[[#This Row],[Sale_Date]]), MONTH(Table1[[#This Row],[Sale_Date]]), 1)</f>
        <v>44927</v>
      </c>
      <c r="D80" t="s">
        <v>38</v>
      </c>
      <c r="E80" t="s">
        <v>15</v>
      </c>
      <c r="F80" s="2">
        <v>4637.3999999999996</v>
      </c>
      <c r="G80">
        <v>27</v>
      </c>
      <c r="H80" t="s">
        <v>35</v>
      </c>
      <c r="I80" s="2">
        <v>927.89</v>
      </c>
      <c r="J80" s="2">
        <v>1399.09</v>
      </c>
      <c r="K80" t="s">
        <v>17</v>
      </c>
      <c r="L80" s="5">
        <v>0.27</v>
      </c>
      <c r="M80" t="s">
        <v>31</v>
      </c>
      <c r="N80" t="s">
        <v>19</v>
      </c>
      <c r="O80" t="s">
        <v>40</v>
      </c>
      <c r="P80" s="4">
        <f t="shared" si="2"/>
        <v>27576.063899999997</v>
      </c>
      <c r="Q80" s="4">
        <f t="shared" si="3"/>
        <v>2523.0338999999967</v>
      </c>
      <c r="R80" t="str">
        <f>IF( Table1[[#This Row],[Total Amount after sale]] &gt; 0,"PROFIT","LOSS")</f>
        <v>PROFIT</v>
      </c>
      <c r="S80" s="3">
        <f>(Table1[[#This Row],[Total Amount after sale]]/Table1[[#This Row],[Price after discount]])</f>
        <v>9.1493619580711699E-2</v>
      </c>
    </row>
    <row r="81" spans="1:19" x14ac:dyDescent="0.3">
      <c r="A81">
        <v>1011</v>
      </c>
      <c r="B81" s="1">
        <v>44951</v>
      </c>
      <c r="C81" s="1">
        <f>DATE(YEAR(Table1[[#This Row],[Sale_Date]]), MONTH(Table1[[#This Row],[Sale_Date]]), 1)</f>
        <v>44927</v>
      </c>
      <c r="D81" t="s">
        <v>38</v>
      </c>
      <c r="E81" t="s">
        <v>15</v>
      </c>
      <c r="F81" s="2">
        <v>2896.48</v>
      </c>
      <c r="G81">
        <v>22</v>
      </c>
      <c r="H81" t="s">
        <v>35</v>
      </c>
      <c r="I81" s="2">
        <v>1324.52</v>
      </c>
      <c r="J81" s="2">
        <v>1510.3</v>
      </c>
      <c r="K81" t="s">
        <v>17</v>
      </c>
      <c r="L81" s="5">
        <v>0.15</v>
      </c>
      <c r="M81" t="s">
        <v>18</v>
      </c>
      <c r="N81" t="s">
        <v>22</v>
      </c>
      <c r="O81" t="s">
        <v>40</v>
      </c>
      <c r="P81" s="4">
        <f t="shared" si="2"/>
        <v>28242.609999999997</v>
      </c>
      <c r="Q81" s="4">
        <f t="shared" si="3"/>
        <v>-896.8300000000022</v>
      </c>
      <c r="R81" t="str">
        <f>IF( Table1[[#This Row],[Total Amount after sale]] &gt; 0,"PROFIT","LOSS")</f>
        <v>LOSS</v>
      </c>
      <c r="S81" s="3">
        <f>(Table1[[#This Row],[Total Amount after sale]]/Table1[[#This Row],[Price after discount]])</f>
        <v>-3.1754501443032435E-2</v>
      </c>
    </row>
    <row r="82" spans="1:19" x14ac:dyDescent="0.3">
      <c r="A82">
        <v>1090</v>
      </c>
      <c r="B82" s="1">
        <v>44951</v>
      </c>
      <c r="C82" s="1">
        <f>DATE(YEAR(Table1[[#This Row],[Sale_Date]]), MONTH(Table1[[#This Row],[Sale_Date]]), 1)</f>
        <v>44927</v>
      </c>
      <c r="D82" t="s">
        <v>33</v>
      </c>
      <c r="E82" t="s">
        <v>25</v>
      </c>
      <c r="F82" s="2">
        <v>2381.12</v>
      </c>
      <c r="G82">
        <v>17</v>
      </c>
      <c r="H82" t="s">
        <v>29</v>
      </c>
      <c r="I82" s="2">
        <v>4190.26</v>
      </c>
      <c r="J82" s="2">
        <v>4645.3500000000004</v>
      </c>
      <c r="K82" t="s">
        <v>30</v>
      </c>
      <c r="L82" s="5">
        <v>0.12</v>
      </c>
      <c r="M82" t="s">
        <v>31</v>
      </c>
      <c r="N82" t="s">
        <v>22</v>
      </c>
      <c r="O82" t="s">
        <v>44</v>
      </c>
      <c r="P82" s="4">
        <f t="shared" si="2"/>
        <v>69494.436000000002</v>
      </c>
      <c r="Q82" s="4">
        <f t="shared" si="3"/>
        <v>-1739.9839999999976</v>
      </c>
      <c r="R82" t="str">
        <f>IF( Table1[[#This Row],[Total Amount after sale]] &gt; 0,"PROFIT","LOSS")</f>
        <v>LOSS</v>
      </c>
      <c r="S82" s="3">
        <f>(Table1[[#This Row],[Total Amount after sale]]/Table1[[#This Row],[Price after discount]])</f>
        <v>-2.5037745467852961E-2</v>
      </c>
    </row>
    <row r="83" spans="1:19" x14ac:dyDescent="0.3">
      <c r="A83">
        <v>1096</v>
      </c>
      <c r="B83" s="1">
        <v>44951</v>
      </c>
      <c r="C83" s="1">
        <f>DATE(YEAR(Table1[[#This Row],[Sale_Date]]), MONTH(Table1[[#This Row],[Sale_Date]]), 1)</f>
        <v>44927</v>
      </c>
      <c r="D83" t="s">
        <v>33</v>
      </c>
      <c r="E83" t="s">
        <v>21</v>
      </c>
      <c r="F83" s="2">
        <v>6206.16</v>
      </c>
      <c r="G83">
        <v>27</v>
      </c>
      <c r="H83" t="s">
        <v>29</v>
      </c>
      <c r="I83" s="2">
        <v>4809</v>
      </c>
      <c r="J83" s="2">
        <v>4967.4399999999996</v>
      </c>
      <c r="K83" t="s">
        <v>30</v>
      </c>
      <c r="L83" s="5">
        <v>0.12</v>
      </c>
      <c r="M83" t="s">
        <v>18</v>
      </c>
      <c r="N83" t="s">
        <v>19</v>
      </c>
      <c r="O83" t="s">
        <v>37</v>
      </c>
      <c r="P83" s="4">
        <f t="shared" si="2"/>
        <v>118026.37439999999</v>
      </c>
      <c r="Q83" s="4">
        <f t="shared" si="3"/>
        <v>-11816.625600000021</v>
      </c>
      <c r="R83" t="str">
        <f>IF( Table1[[#This Row],[Total Amount after sale]] &gt; 0,"PROFIT","LOSS")</f>
        <v>LOSS</v>
      </c>
      <c r="S83" s="3">
        <f>(Table1[[#This Row],[Total Amount after sale]]/Table1[[#This Row],[Price after discount]])</f>
        <v>-0.10011851723880474</v>
      </c>
    </row>
    <row r="84" spans="1:19" x14ac:dyDescent="0.3">
      <c r="A84">
        <v>1048</v>
      </c>
      <c r="B84" s="1">
        <v>44951</v>
      </c>
      <c r="C84" s="1">
        <f>DATE(YEAR(Table1[[#This Row],[Sale_Date]]), MONTH(Table1[[#This Row],[Sale_Date]]), 1)</f>
        <v>44927</v>
      </c>
      <c r="D84" t="s">
        <v>38</v>
      </c>
      <c r="E84" t="s">
        <v>25</v>
      </c>
      <c r="F84" s="2">
        <v>4961.8500000000004</v>
      </c>
      <c r="G84">
        <v>7</v>
      </c>
      <c r="H84" t="s">
        <v>35</v>
      </c>
      <c r="I84" s="2">
        <v>1655.43</v>
      </c>
      <c r="J84" s="2">
        <v>2001.08</v>
      </c>
      <c r="K84" t="s">
        <v>30</v>
      </c>
      <c r="L84" s="5">
        <v>0.19</v>
      </c>
      <c r="M84" t="s">
        <v>27</v>
      </c>
      <c r="N84" t="s">
        <v>19</v>
      </c>
      <c r="O84" t="s">
        <v>39</v>
      </c>
      <c r="P84" s="4">
        <f t="shared" si="2"/>
        <v>11346.123600000001</v>
      </c>
      <c r="Q84" s="4">
        <f t="shared" si="3"/>
        <v>-241.88640000000009</v>
      </c>
      <c r="R84" t="str">
        <f>IF( Table1[[#This Row],[Total Amount after sale]] &gt; 0,"PROFIT","LOSS")</f>
        <v>LOSS</v>
      </c>
      <c r="S84" s="3">
        <f>(Table1[[#This Row],[Total Amount after sale]]/Table1[[#This Row],[Price after discount]])</f>
        <v>-2.1318858186949424E-2</v>
      </c>
    </row>
    <row r="85" spans="1:19" x14ac:dyDescent="0.3">
      <c r="A85">
        <v>1083</v>
      </c>
      <c r="B85" s="1">
        <v>44951</v>
      </c>
      <c r="C85" s="1">
        <f>DATE(YEAR(Table1[[#This Row],[Sale_Date]]), MONTH(Table1[[#This Row],[Sale_Date]]), 1)</f>
        <v>44927</v>
      </c>
      <c r="D85" t="s">
        <v>24</v>
      </c>
      <c r="E85" t="s">
        <v>34</v>
      </c>
      <c r="F85" s="2">
        <v>757.99</v>
      </c>
      <c r="G85">
        <v>34</v>
      </c>
      <c r="H85" t="s">
        <v>29</v>
      </c>
      <c r="I85" s="2">
        <v>1167.9100000000001</v>
      </c>
      <c r="J85" s="2">
        <v>1547.26</v>
      </c>
      <c r="K85" t="s">
        <v>30</v>
      </c>
      <c r="L85" s="5">
        <v>0.11</v>
      </c>
      <c r="M85" t="s">
        <v>27</v>
      </c>
      <c r="N85" t="s">
        <v>19</v>
      </c>
      <c r="O85" t="s">
        <v>50</v>
      </c>
      <c r="P85" s="4">
        <f t="shared" si="2"/>
        <v>46820.087599999999</v>
      </c>
      <c r="Q85" s="4">
        <f t="shared" si="3"/>
        <v>7111.1475999999984</v>
      </c>
      <c r="R85" t="str">
        <f>IF( Table1[[#This Row],[Total Amount after sale]] &gt; 0,"PROFIT","LOSS")</f>
        <v>PROFIT</v>
      </c>
      <c r="S85" s="3">
        <f>(Table1[[#This Row],[Total Amount after sale]]/Table1[[#This Row],[Price after discount]])</f>
        <v>0.15188240698635511</v>
      </c>
    </row>
    <row r="86" spans="1:19" x14ac:dyDescent="0.3">
      <c r="A86">
        <v>1061</v>
      </c>
      <c r="B86" s="1">
        <v>44951</v>
      </c>
      <c r="C86" s="1">
        <f>DATE(YEAR(Table1[[#This Row],[Sale_Date]]), MONTH(Table1[[#This Row],[Sale_Date]]), 1)</f>
        <v>44927</v>
      </c>
      <c r="D86" t="s">
        <v>14</v>
      </c>
      <c r="E86" t="s">
        <v>34</v>
      </c>
      <c r="F86" s="2">
        <v>2375.2800000000002</v>
      </c>
      <c r="G86">
        <v>38</v>
      </c>
      <c r="H86" t="s">
        <v>16</v>
      </c>
      <c r="I86" s="2">
        <v>4440.8599999999997</v>
      </c>
      <c r="J86" s="2">
        <v>4506.8099999999904</v>
      </c>
      <c r="K86" t="s">
        <v>17</v>
      </c>
      <c r="L86" s="5">
        <v>0.24</v>
      </c>
      <c r="M86" t="s">
        <v>27</v>
      </c>
      <c r="N86" t="s">
        <v>19</v>
      </c>
      <c r="O86" t="s">
        <v>46</v>
      </c>
      <c r="P86" s="4">
        <f t="shared" si="2"/>
        <v>130156.67279999972</v>
      </c>
      <c r="Q86" s="4">
        <f t="shared" si="3"/>
        <v>-38596.007200000262</v>
      </c>
      <c r="R86" t="str">
        <f>IF( Table1[[#This Row],[Total Amount after sale]] &gt; 0,"PROFIT","LOSS")</f>
        <v>LOSS</v>
      </c>
      <c r="S86" s="3">
        <f>(Table1[[#This Row],[Total Amount after sale]]/Table1[[#This Row],[Price after discount]])</f>
        <v>-0.29653498641062637</v>
      </c>
    </row>
    <row r="87" spans="1:19" x14ac:dyDescent="0.3">
      <c r="A87">
        <v>1018</v>
      </c>
      <c r="B87" s="1">
        <v>44952</v>
      </c>
      <c r="C87" s="1">
        <f>DATE(YEAR(Table1[[#This Row],[Sale_Date]]), MONTH(Table1[[#This Row],[Sale_Date]]), 1)</f>
        <v>44927</v>
      </c>
      <c r="D87" t="s">
        <v>42</v>
      </c>
      <c r="E87" t="s">
        <v>34</v>
      </c>
      <c r="F87" s="2">
        <v>3187.45</v>
      </c>
      <c r="G87">
        <v>11</v>
      </c>
      <c r="H87" t="s">
        <v>29</v>
      </c>
      <c r="I87" s="2">
        <v>2414.8200000000002</v>
      </c>
      <c r="J87" s="2">
        <v>2519.0700000000002</v>
      </c>
      <c r="K87" t="s">
        <v>17</v>
      </c>
      <c r="L87" s="5">
        <v>0</v>
      </c>
      <c r="M87" t="s">
        <v>18</v>
      </c>
      <c r="N87" t="s">
        <v>19</v>
      </c>
      <c r="O87" t="s">
        <v>52</v>
      </c>
      <c r="P87" s="4">
        <f t="shared" si="2"/>
        <v>27709.77</v>
      </c>
      <c r="Q87" s="4">
        <f t="shared" si="3"/>
        <v>1146.75</v>
      </c>
      <c r="R87" t="str">
        <f>IF( Table1[[#This Row],[Total Amount after sale]] &gt; 0,"PROFIT","LOSS")</f>
        <v>PROFIT</v>
      </c>
      <c r="S87" s="3">
        <f>(Table1[[#This Row],[Total Amount after sale]]/Table1[[#This Row],[Price after discount]])</f>
        <v>4.1384320403958605E-2</v>
      </c>
    </row>
    <row r="88" spans="1:19" x14ac:dyDescent="0.3">
      <c r="A88">
        <v>1023</v>
      </c>
      <c r="B88" s="1">
        <v>44952</v>
      </c>
      <c r="C88" s="1">
        <f>DATE(YEAR(Table1[[#This Row],[Sale_Date]]), MONTH(Table1[[#This Row],[Sale_Date]]), 1)</f>
        <v>44927</v>
      </c>
      <c r="D88" t="s">
        <v>24</v>
      </c>
      <c r="E88" t="s">
        <v>15</v>
      </c>
      <c r="F88" s="2">
        <v>2676.34</v>
      </c>
      <c r="G88">
        <v>36</v>
      </c>
      <c r="H88" t="s">
        <v>29</v>
      </c>
      <c r="I88" s="2">
        <v>1991.72</v>
      </c>
      <c r="J88" s="2">
        <v>2329.37</v>
      </c>
      <c r="K88" t="s">
        <v>30</v>
      </c>
      <c r="L88" s="5">
        <v>0.28000000000000003</v>
      </c>
      <c r="M88" t="s">
        <v>31</v>
      </c>
      <c r="N88" t="s">
        <v>22</v>
      </c>
      <c r="O88" t="s">
        <v>45</v>
      </c>
      <c r="P88" s="4">
        <f t="shared" si="2"/>
        <v>60377.270399999994</v>
      </c>
      <c r="Q88" s="4">
        <f t="shared" si="3"/>
        <v>-11324.649600000006</v>
      </c>
      <c r="R88" t="str">
        <f>IF( Table1[[#This Row],[Total Amount after sale]] &gt; 0,"PROFIT","LOSS")</f>
        <v>LOSS</v>
      </c>
      <c r="S88" s="3">
        <f>(Table1[[#This Row],[Total Amount after sale]]/Table1[[#This Row],[Price after discount]])</f>
        <v>-0.18756478265701801</v>
      </c>
    </row>
    <row r="89" spans="1:19" x14ac:dyDescent="0.3">
      <c r="A89">
        <v>1026</v>
      </c>
      <c r="B89" s="1">
        <v>44952</v>
      </c>
      <c r="C89" s="1">
        <f>DATE(YEAR(Table1[[#This Row],[Sale_Date]]), MONTH(Table1[[#This Row],[Sale_Date]]), 1)</f>
        <v>44927</v>
      </c>
      <c r="D89" t="s">
        <v>24</v>
      </c>
      <c r="E89" t="s">
        <v>34</v>
      </c>
      <c r="F89" s="2">
        <v>2195.1999999999998</v>
      </c>
      <c r="G89">
        <v>5</v>
      </c>
      <c r="H89" t="s">
        <v>26</v>
      </c>
      <c r="I89" s="2">
        <v>4093.61</v>
      </c>
      <c r="J89" s="2">
        <v>4117.88</v>
      </c>
      <c r="K89" t="s">
        <v>17</v>
      </c>
      <c r="L89" s="5">
        <v>0.12</v>
      </c>
      <c r="M89" t="s">
        <v>31</v>
      </c>
      <c r="N89" t="s">
        <v>22</v>
      </c>
      <c r="O89" t="s">
        <v>50</v>
      </c>
      <c r="P89" s="4">
        <f t="shared" si="2"/>
        <v>18118.672000000002</v>
      </c>
      <c r="Q89" s="4">
        <f t="shared" si="3"/>
        <v>-2349.3779999999992</v>
      </c>
      <c r="R89" t="str">
        <f>IF( Table1[[#This Row],[Total Amount after sale]] &gt; 0,"PROFIT","LOSS")</f>
        <v>LOSS</v>
      </c>
      <c r="S89" s="3">
        <f>(Table1[[#This Row],[Total Amount after sale]]/Table1[[#This Row],[Price after discount]])</f>
        <v>-0.12966612564099614</v>
      </c>
    </row>
    <row r="90" spans="1:19" x14ac:dyDescent="0.3">
      <c r="A90">
        <v>1016</v>
      </c>
      <c r="B90" s="1">
        <v>44953</v>
      </c>
      <c r="C90" s="1">
        <f>DATE(YEAR(Table1[[#This Row],[Sale_Date]]), MONTH(Table1[[#This Row],[Sale_Date]]), 1)</f>
        <v>44927</v>
      </c>
      <c r="D90" t="s">
        <v>38</v>
      </c>
      <c r="E90" t="s">
        <v>15</v>
      </c>
      <c r="F90" s="2">
        <v>2783.85</v>
      </c>
      <c r="G90">
        <v>41</v>
      </c>
      <c r="H90" t="s">
        <v>26</v>
      </c>
      <c r="I90" s="2">
        <v>3386.49</v>
      </c>
      <c r="J90" s="2">
        <v>3430.99</v>
      </c>
      <c r="K90" t="s">
        <v>30</v>
      </c>
      <c r="L90" s="5">
        <v>0.21</v>
      </c>
      <c r="M90" t="s">
        <v>27</v>
      </c>
      <c r="N90" t="s">
        <v>22</v>
      </c>
      <c r="O90" t="s">
        <v>40</v>
      </c>
      <c r="P90" s="4">
        <f t="shared" si="2"/>
        <v>111129.76610000001</v>
      </c>
      <c r="Q90" s="4">
        <f t="shared" si="3"/>
        <v>-27716.323899999985</v>
      </c>
      <c r="R90" t="str">
        <f>IF( Table1[[#This Row],[Total Amount after sale]] &gt; 0,"PROFIT","LOSS")</f>
        <v>LOSS</v>
      </c>
      <c r="S90" s="3">
        <f>(Table1[[#This Row],[Total Amount after sale]]/Table1[[#This Row],[Price after discount]])</f>
        <v>-0.24940504126553709</v>
      </c>
    </row>
    <row r="91" spans="1:19" x14ac:dyDescent="0.3">
      <c r="A91">
        <v>1092</v>
      </c>
      <c r="B91" s="1">
        <v>44953</v>
      </c>
      <c r="C91" s="1">
        <f>DATE(YEAR(Table1[[#This Row],[Sale_Date]]), MONTH(Table1[[#This Row],[Sale_Date]]), 1)</f>
        <v>44927</v>
      </c>
      <c r="D91" t="s">
        <v>24</v>
      </c>
      <c r="E91" t="s">
        <v>21</v>
      </c>
      <c r="F91" s="2">
        <v>6939.75</v>
      </c>
      <c r="G91">
        <v>26</v>
      </c>
      <c r="H91" t="s">
        <v>16</v>
      </c>
      <c r="I91" s="2">
        <v>3697.29</v>
      </c>
      <c r="J91" s="2">
        <v>4003.96</v>
      </c>
      <c r="K91" t="s">
        <v>30</v>
      </c>
      <c r="L91" s="5">
        <v>0.24</v>
      </c>
      <c r="M91" t="s">
        <v>18</v>
      </c>
      <c r="N91" t="s">
        <v>19</v>
      </c>
      <c r="O91" t="s">
        <v>47</v>
      </c>
      <c r="P91" s="4">
        <f t="shared" si="2"/>
        <v>79118.249599999996</v>
      </c>
      <c r="Q91" s="4">
        <f t="shared" si="3"/>
        <v>-17011.290400000002</v>
      </c>
      <c r="R91" t="str">
        <f>IF( Table1[[#This Row],[Total Amount after sale]] &gt; 0,"PROFIT","LOSS")</f>
        <v>LOSS</v>
      </c>
      <c r="S91" s="3">
        <f>(Table1[[#This Row],[Total Amount after sale]]/Table1[[#This Row],[Price after discount]])</f>
        <v>-0.21501095494407907</v>
      </c>
    </row>
    <row r="92" spans="1:19" x14ac:dyDescent="0.3">
      <c r="A92">
        <v>1065</v>
      </c>
      <c r="B92" s="1">
        <v>44953</v>
      </c>
      <c r="C92" s="1">
        <f>DATE(YEAR(Table1[[#This Row],[Sale_Date]]), MONTH(Table1[[#This Row],[Sale_Date]]), 1)</f>
        <v>44927</v>
      </c>
      <c r="D92" t="s">
        <v>14</v>
      </c>
      <c r="E92" t="s">
        <v>25</v>
      </c>
      <c r="F92" s="2">
        <v>1621.54</v>
      </c>
      <c r="G92">
        <v>12</v>
      </c>
      <c r="H92" t="s">
        <v>35</v>
      </c>
      <c r="I92" s="2">
        <v>2035.68</v>
      </c>
      <c r="J92" s="2">
        <v>2079.64</v>
      </c>
      <c r="K92" t="s">
        <v>17</v>
      </c>
      <c r="L92" s="5">
        <v>0.04</v>
      </c>
      <c r="M92" t="s">
        <v>18</v>
      </c>
      <c r="N92" t="s">
        <v>19</v>
      </c>
      <c r="O92" t="s">
        <v>32</v>
      </c>
      <c r="P92" s="4">
        <f t="shared" si="2"/>
        <v>23957.452799999999</v>
      </c>
      <c r="Q92" s="4">
        <f t="shared" si="3"/>
        <v>-470.70720000000256</v>
      </c>
      <c r="R92" t="str">
        <f>IF( Table1[[#This Row],[Total Amount after sale]] &gt; 0,"PROFIT","LOSS")</f>
        <v>LOSS</v>
      </c>
      <c r="S92" s="3">
        <f>(Table1[[#This Row],[Total Amount after sale]]/Table1[[#This Row],[Price after discount]])</f>
        <v>-1.9647631320805631E-2</v>
      </c>
    </row>
    <row r="93" spans="1:19" x14ac:dyDescent="0.3">
      <c r="A93">
        <v>1034</v>
      </c>
      <c r="B93" s="1">
        <v>44953</v>
      </c>
      <c r="C93" s="1">
        <f>DATE(YEAR(Table1[[#This Row],[Sale_Date]]), MONTH(Table1[[#This Row],[Sale_Date]]), 1)</f>
        <v>44927</v>
      </c>
      <c r="D93" t="s">
        <v>14</v>
      </c>
      <c r="E93" t="s">
        <v>34</v>
      </c>
      <c r="F93" s="2">
        <v>414.26</v>
      </c>
      <c r="G93">
        <v>38</v>
      </c>
      <c r="H93" t="s">
        <v>26</v>
      </c>
      <c r="I93" s="2">
        <v>2729.75</v>
      </c>
      <c r="J93" s="2">
        <v>3081.5</v>
      </c>
      <c r="K93" t="s">
        <v>30</v>
      </c>
      <c r="L93" s="5">
        <v>0.01</v>
      </c>
      <c r="M93" t="s">
        <v>27</v>
      </c>
      <c r="N93" t="s">
        <v>19</v>
      </c>
      <c r="O93" t="s">
        <v>46</v>
      </c>
      <c r="P93" s="4">
        <f t="shared" si="2"/>
        <v>115926.03</v>
      </c>
      <c r="Q93" s="4">
        <f t="shared" si="3"/>
        <v>12195.529999999999</v>
      </c>
      <c r="R93" t="str">
        <f>IF( Table1[[#This Row],[Total Amount after sale]] &gt; 0,"PROFIT","LOSS")</f>
        <v>PROFIT</v>
      </c>
      <c r="S93" s="3">
        <f>(Table1[[#This Row],[Total Amount after sale]]/Table1[[#This Row],[Price after discount]])</f>
        <v>0.10520096306239417</v>
      </c>
    </row>
    <row r="94" spans="1:19" x14ac:dyDescent="0.3">
      <c r="A94">
        <v>1092</v>
      </c>
      <c r="B94" s="1">
        <v>44955</v>
      </c>
      <c r="C94" s="1">
        <f>DATE(YEAR(Table1[[#This Row],[Sale_Date]]), MONTH(Table1[[#This Row],[Sale_Date]]), 1)</f>
        <v>44927</v>
      </c>
      <c r="D94" t="s">
        <v>14</v>
      </c>
      <c r="E94" t="s">
        <v>25</v>
      </c>
      <c r="F94" s="2">
        <v>8936.33</v>
      </c>
      <c r="G94">
        <v>13</v>
      </c>
      <c r="H94" t="s">
        <v>29</v>
      </c>
      <c r="I94" s="2">
        <v>2684.5</v>
      </c>
      <c r="J94" s="2">
        <v>2913.78</v>
      </c>
      <c r="K94" t="s">
        <v>30</v>
      </c>
      <c r="L94" s="5">
        <v>0.08</v>
      </c>
      <c r="M94" t="s">
        <v>31</v>
      </c>
      <c r="N94" t="s">
        <v>22</v>
      </c>
      <c r="O94" t="s">
        <v>32</v>
      </c>
      <c r="P94" s="4">
        <f t="shared" si="2"/>
        <v>34848.808800000006</v>
      </c>
      <c r="Q94" s="4">
        <f t="shared" si="3"/>
        <v>-49.691199999994296</v>
      </c>
      <c r="R94" t="str">
        <f>IF( Table1[[#This Row],[Total Amount after sale]] &gt; 0,"PROFIT","LOSS")</f>
        <v>LOSS</v>
      </c>
      <c r="S94" s="3">
        <f>(Table1[[#This Row],[Total Amount after sale]]/Table1[[#This Row],[Price after discount]])</f>
        <v>-1.4259081360621512E-3</v>
      </c>
    </row>
    <row r="95" spans="1:19" x14ac:dyDescent="0.3">
      <c r="A95">
        <v>1017</v>
      </c>
      <c r="B95" s="1">
        <v>44955</v>
      </c>
      <c r="C95" s="1">
        <f>DATE(YEAR(Table1[[#This Row],[Sale_Date]]), MONTH(Table1[[#This Row],[Sale_Date]]), 1)</f>
        <v>44927</v>
      </c>
      <c r="D95" t="s">
        <v>33</v>
      </c>
      <c r="E95" t="s">
        <v>25</v>
      </c>
      <c r="F95" s="2">
        <v>4882.09</v>
      </c>
      <c r="G95">
        <v>19</v>
      </c>
      <c r="H95" t="s">
        <v>35</v>
      </c>
      <c r="I95" s="2">
        <v>1233.1199999999999</v>
      </c>
      <c r="J95" s="2">
        <v>1697.1899999999901</v>
      </c>
      <c r="K95" t="s">
        <v>30</v>
      </c>
      <c r="L95" s="5">
        <v>0.1</v>
      </c>
      <c r="M95" t="s">
        <v>31</v>
      </c>
      <c r="N95" t="s">
        <v>19</v>
      </c>
      <c r="O95" t="s">
        <v>44</v>
      </c>
      <c r="P95" s="4">
        <f t="shared" si="2"/>
        <v>29021.948999999833</v>
      </c>
      <c r="Q95" s="4">
        <f t="shared" si="3"/>
        <v>5592.6689999998334</v>
      </c>
      <c r="R95" t="str">
        <f>IF( Table1[[#This Row],[Total Amount after sale]] &gt; 0,"PROFIT","LOSS")</f>
        <v>PROFIT</v>
      </c>
      <c r="S95" s="3">
        <f>(Table1[[#This Row],[Total Amount after sale]]/Table1[[#This Row],[Price after discount]])</f>
        <v>0.19270480421559094</v>
      </c>
    </row>
    <row r="96" spans="1:19" x14ac:dyDescent="0.3">
      <c r="A96">
        <v>1042</v>
      </c>
      <c r="B96" s="1">
        <v>44955</v>
      </c>
      <c r="C96" s="1">
        <f>DATE(YEAR(Table1[[#This Row],[Sale_Date]]), MONTH(Table1[[#This Row],[Sale_Date]]), 1)</f>
        <v>44927</v>
      </c>
      <c r="D96" t="s">
        <v>38</v>
      </c>
      <c r="E96" t="s">
        <v>15</v>
      </c>
      <c r="F96" s="2">
        <v>9772.3700000000008</v>
      </c>
      <c r="G96">
        <v>25</v>
      </c>
      <c r="H96" t="s">
        <v>26</v>
      </c>
      <c r="I96" s="2">
        <v>2403.54</v>
      </c>
      <c r="J96" s="2">
        <v>2850.56</v>
      </c>
      <c r="K96" t="s">
        <v>30</v>
      </c>
      <c r="L96" s="5">
        <v>0.13</v>
      </c>
      <c r="M96" t="s">
        <v>27</v>
      </c>
      <c r="N96" t="s">
        <v>19</v>
      </c>
      <c r="O96" t="s">
        <v>40</v>
      </c>
      <c r="P96" s="4">
        <f t="shared" si="2"/>
        <v>61999.68</v>
      </c>
      <c r="Q96" s="4">
        <f t="shared" si="3"/>
        <v>1911.1800000000017</v>
      </c>
      <c r="R96" t="str">
        <f>IF( Table1[[#This Row],[Total Amount after sale]] &gt; 0,"PROFIT","LOSS")</f>
        <v>PROFIT</v>
      </c>
      <c r="S96" s="3">
        <f>(Table1[[#This Row],[Total Amount after sale]]/Table1[[#This Row],[Price after discount]])</f>
        <v>3.0825642971060524E-2</v>
      </c>
    </row>
    <row r="97" spans="1:19" x14ac:dyDescent="0.3">
      <c r="A97">
        <v>1007</v>
      </c>
      <c r="B97" s="1">
        <v>44955</v>
      </c>
      <c r="C97" s="1">
        <f>DATE(YEAR(Table1[[#This Row],[Sale_Date]]), MONTH(Table1[[#This Row],[Sale_Date]]), 1)</f>
        <v>44927</v>
      </c>
      <c r="D97" t="s">
        <v>33</v>
      </c>
      <c r="E97" t="s">
        <v>21</v>
      </c>
      <c r="F97" s="2">
        <v>2491.21</v>
      </c>
      <c r="G97">
        <v>13</v>
      </c>
      <c r="H97" t="s">
        <v>16</v>
      </c>
      <c r="I97" s="2">
        <v>3765.46</v>
      </c>
      <c r="J97" s="2">
        <v>3860.56</v>
      </c>
      <c r="K97" t="s">
        <v>17</v>
      </c>
      <c r="L97" s="5">
        <v>0.22</v>
      </c>
      <c r="M97" t="s">
        <v>18</v>
      </c>
      <c r="N97" t="s">
        <v>22</v>
      </c>
      <c r="O97" t="s">
        <v>37</v>
      </c>
      <c r="P97" s="4">
        <f t="shared" si="2"/>
        <v>39146.078399999999</v>
      </c>
      <c r="Q97" s="4">
        <f t="shared" si="3"/>
        <v>-9804.9015999999992</v>
      </c>
      <c r="R97" t="str">
        <f>IF( Table1[[#This Row],[Total Amount after sale]] &gt; 0,"PROFIT","LOSS")</f>
        <v>LOSS</v>
      </c>
      <c r="S97" s="3">
        <f>(Table1[[#This Row],[Total Amount after sale]]/Table1[[#This Row],[Price after discount]])</f>
        <v>-0.25046957449510449</v>
      </c>
    </row>
    <row r="98" spans="1:19" x14ac:dyDescent="0.3">
      <c r="A98">
        <v>1009</v>
      </c>
      <c r="B98" s="1">
        <v>44955</v>
      </c>
      <c r="C98" s="1">
        <f>DATE(YEAR(Table1[[#This Row],[Sale_Date]]), MONTH(Table1[[#This Row],[Sale_Date]]), 1)</f>
        <v>44927</v>
      </c>
      <c r="D98" t="s">
        <v>38</v>
      </c>
      <c r="E98" t="s">
        <v>21</v>
      </c>
      <c r="F98" s="2">
        <v>182.8</v>
      </c>
      <c r="G98">
        <v>16</v>
      </c>
      <c r="H98" t="s">
        <v>29</v>
      </c>
      <c r="I98" s="2">
        <v>3745.69</v>
      </c>
      <c r="J98" s="2">
        <v>3883.77</v>
      </c>
      <c r="K98" t="s">
        <v>17</v>
      </c>
      <c r="L98" s="5">
        <v>0.18</v>
      </c>
      <c r="M98" t="s">
        <v>27</v>
      </c>
      <c r="N98" t="s">
        <v>22</v>
      </c>
      <c r="O98" t="s">
        <v>41</v>
      </c>
      <c r="P98" s="4">
        <f t="shared" si="2"/>
        <v>50955.062400000003</v>
      </c>
      <c r="Q98" s="4">
        <f t="shared" si="3"/>
        <v>-8975.9775999999983</v>
      </c>
      <c r="R98" t="str">
        <f>IF( Table1[[#This Row],[Total Amount after sale]] &gt; 0,"PROFIT","LOSS")</f>
        <v>LOSS</v>
      </c>
      <c r="S98" s="3">
        <f>(Table1[[#This Row],[Total Amount after sale]]/Table1[[#This Row],[Price after discount]])</f>
        <v>-0.17615477593841583</v>
      </c>
    </row>
    <row r="99" spans="1:19" x14ac:dyDescent="0.3">
      <c r="A99">
        <v>1018</v>
      </c>
      <c r="B99" s="1">
        <v>44955</v>
      </c>
      <c r="C99" s="1">
        <f>DATE(YEAR(Table1[[#This Row],[Sale_Date]]), MONTH(Table1[[#This Row],[Sale_Date]]), 1)</f>
        <v>44927</v>
      </c>
      <c r="D99" t="s">
        <v>24</v>
      </c>
      <c r="E99" t="s">
        <v>21</v>
      </c>
      <c r="F99" s="2">
        <v>6008.83</v>
      </c>
      <c r="G99">
        <v>25</v>
      </c>
      <c r="H99" t="s">
        <v>26</v>
      </c>
      <c r="I99" s="2">
        <v>4660.82</v>
      </c>
      <c r="J99" s="2">
        <v>5011.4299999999903</v>
      </c>
      <c r="K99" t="s">
        <v>30</v>
      </c>
      <c r="L99" s="5">
        <v>7.0000000000000007E-2</v>
      </c>
      <c r="M99" t="s">
        <v>27</v>
      </c>
      <c r="N99" t="s">
        <v>19</v>
      </c>
      <c r="O99" t="s">
        <v>47</v>
      </c>
      <c r="P99" s="4">
        <f t="shared" si="2"/>
        <v>116515.74749999976</v>
      </c>
      <c r="Q99" s="4">
        <f t="shared" si="3"/>
        <v>-4.752500000222426</v>
      </c>
      <c r="R99" t="str">
        <f>IF( Table1[[#This Row],[Total Amount after sale]] &gt; 0,"PROFIT","LOSS")</f>
        <v>LOSS</v>
      </c>
      <c r="S99" s="3">
        <f>(Table1[[#This Row],[Total Amount after sale]]/Table1[[#This Row],[Price after discount]])</f>
        <v>-4.0788477971378381E-5</v>
      </c>
    </row>
    <row r="100" spans="1:19" x14ac:dyDescent="0.3">
      <c r="A100">
        <v>1042</v>
      </c>
      <c r="B100" s="1">
        <v>44957</v>
      </c>
      <c r="C100" s="1">
        <f>DATE(YEAR(Table1[[#This Row],[Sale_Date]]), MONTH(Table1[[#This Row],[Sale_Date]]), 1)</f>
        <v>44927</v>
      </c>
      <c r="D100" t="s">
        <v>42</v>
      </c>
      <c r="E100" t="s">
        <v>15</v>
      </c>
      <c r="F100" s="2">
        <v>5207.03</v>
      </c>
      <c r="G100">
        <v>11</v>
      </c>
      <c r="H100" t="s">
        <v>26</v>
      </c>
      <c r="I100" s="2">
        <v>635.20000000000005</v>
      </c>
      <c r="J100" s="2">
        <v>814.14</v>
      </c>
      <c r="K100" t="s">
        <v>17</v>
      </c>
      <c r="L100" s="5">
        <v>0.02</v>
      </c>
      <c r="M100" t="s">
        <v>18</v>
      </c>
      <c r="N100" t="s">
        <v>19</v>
      </c>
      <c r="O100" t="s">
        <v>49</v>
      </c>
      <c r="P100" s="4">
        <f t="shared" si="2"/>
        <v>8776.4291999999987</v>
      </c>
      <c r="Q100" s="4">
        <f t="shared" si="3"/>
        <v>1789.2291999999986</v>
      </c>
      <c r="R100" t="str">
        <f>IF( Table1[[#This Row],[Total Amount after sale]] &gt; 0,"PROFIT","LOSS")</f>
        <v>PROFIT</v>
      </c>
      <c r="S100" s="3">
        <f>(Table1[[#This Row],[Total Amount after sale]]/Table1[[#This Row],[Price after discount]])</f>
        <v>0.20386755925747102</v>
      </c>
    </row>
    <row r="101" spans="1:19" x14ac:dyDescent="0.3">
      <c r="A101">
        <v>1057</v>
      </c>
      <c r="B101" s="1">
        <v>44957</v>
      </c>
      <c r="C101" s="1">
        <f>DATE(YEAR(Table1[[#This Row],[Sale_Date]]), MONTH(Table1[[#This Row],[Sale_Date]]), 1)</f>
        <v>44927</v>
      </c>
      <c r="D101" t="s">
        <v>33</v>
      </c>
      <c r="E101" t="s">
        <v>15</v>
      </c>
      <c r="F101" s="2">
        <v>975.01</v>
      </c>
      <c r="G101">
        <v>36</v>
      </c>
      <c r="H101" t="s">
        <v>26</v>
      </c>
      <c r="I101" s="2">
        <v>4995.3</v>
      </c>
      <c r="J101" s="2">
        <v>5165.09</v>
      </c>
      <c r="K101" t="s">
        <v>17</v>
      </c>
      <c r="L101" s="5">
        <v>0.24</v>
      </c>
      <c r="M101" t="s">
        <v>18</v>
      </c>
      <c r="N101" t="s">
        <v>19</v>
      </c>
      <c r="O101" t="s">
        <v>53</v>
      </c>
      <c r="P101" s="4">
        <f t="shared" si="2"/>
        <v>141316.86240000001</v>
      </c>
      <c r="Q101" s="4">
        <f t="shared" si="3"/>
        <v>-38513.937599999997</v>
      </c>
      <c r="R101" t="str">
        <f>IF( Table1[[#This Row],[Total Amount after sale]] &gt; 0,"PROFIT","LOSS")</f>
        <v>LOSS</v>
      </c>
      <c r="S101" s="3">
        <f>(Table1[[#This Row],[Total Amount after sale]]/Table1[[#This Row],[Price after discount]])</f>
        <v>-0.27253603671857346</v>
      </c>
    </row>
    <row r="102" spans="1:19" x14ac:dyDescent="0.3">
      <c r="A102">
        <v>1069</v>
      </c>
      <c r="B102" s="1">
        <v>44958</v>
      </c>
      <c r="C102" s="1">
        <f>DATE(YEAR(Table1[[#This Row],[Sale_Date]]), MONTH(Table1[[#This Row],[Sale_Date]]), 1)</f>
        <v>44958</v>
      </c>
      <c r="D102" t="s">
        <v>38</v>
      </c>
      <c r="E102" t="s">
        <v>15</v>
      </c>
      <c r="F102" s="2">
        <v>2726.73</v>
      </c>
      <c r="G102">
        <v>18</v>
      </c>
      <c r="H102" t="s">
        <v>16</v>
      </c>
      <c r="I102" s="2">
        <v>2760.21</v>
      </c>
      <c r="J102" s="2">
        <v>3219.58</v>
      </c>
      <c r="K102" t="s">
        <v>30</v>
      </c>
      <c r="L102" s="5">
        <v>0.27</v>
      </c>
      <c r="M102" t="s">
        <v>27</v>
      </c>
      <c r="N102" t="s">
        <v>22</v>
      </c>
      <c r="O102" t="s">
        <v>40</v>
      </c>
      <c r="P102" s="4">
        <f t="shared" si="2"/>
        <v>42305.281199999998</v>
      </c>
      <c r="Q102" s="4">
        <f t="shared" si="3"/>
        <v>-7378.4988000000003</v>
      </c>
      <c r="R102" t="str">
        <f>IF( Table1[[#This Row],[Total Amount after sale]] &gt; 0,"PROFIT","LOSS")</f>
        <v>LOSS</v>
      </c>
      <c r="S102" s="3">
        <f>(Table1[[#This Row],[Total Amount after sale]]/Table1[[#This Row],[Price after discount]])</f>
        <v>-0.17441082036821448</v>
      </c>
    </row>
    <row r="103" spans="1:19" x14ac:dyDescent="0.3">
      <c r="A103">
        <v>1097</v>
      </c>
      <c r="B103" s="1">
        <v>44958</v>
      </c>
      <c r="C103" s="1">
        <f>DATE(YEAR(Table1[[#This Row],[Sale_Date]]), MONTH(Table1[[#This Row],[Sale_Date]]), 1)</f>
        <v>44958</v>
      </c>
      <c r="D103" t="s">
        <v>42</v>
      </c>
      <c r="E103" t="s">
        <v>21</v>
      </c>
      <c r="F103" s="2">
        <v>1099.68</v>
      </c>
      <c r="G103">
        <v>27</v>
      </c>
      <c r="H103" t="s">
        <v>35</v>
      </c>
      <c r="I103" s="2">
        <v>3955.19</v>
      </c>
      <c r="J103" s="2">
        <v>4393.68</v>
      </c>
      <c r="K103" t="s">
        <v>17</v>
      </c>
      <c r="L103" s="5">
        <v>0.04</v>
      </c>
      <c r="M103" t="s">
        <v>31</v>
      </c>
      <c r="N103" t="s">
        <v>19</v>
      </c>
      <c r="O103" t="s">
        <v>51</v>
      </c>
      <c r="P103" s="4">
        <f t="shared" si="2"/>
        <v>113884.18560000001</v>
      </c>
      <c r="Q103" s="4">
        <f t="shared" si="3"/>
        <v>7094.0556000000124</v>
      </c>
      <c r="R103" t="str">
        <f>IF( Table1[[#This Row],[Total Amount after sale]] &gt; 0,"PROFIT","LOSS")</f>
        <v>PROFIT</v>
      </c>
      <c r="S103" s="3">
        <f>(Table1[[#This Row],[Total Amount after sale]]/Table1[[#This Row],[Price after discount]])</f>
        <v>6.2291841159726496E-2</v>
      </c>
    </row>
    <row r="104" spans="1:19" x14ac:dyDescent="0.3">
      <c r="A104">
        <v>1096</v>
      </c>
      <c r="B104" s="1">
        <v>44959</v>
      </c>
      <c r="C104" s="1">
        <f>DATE(YEAR(Table1[[#This Row],[Sale_Date]]), MONTH(Table1[[#This Row],[Sale_Date]]), 1)</f>
        <v>44958</v>
      </c>
      <c r="D104" t="s">
        <v>42</v>
      </c>
      <c r="E104" t="s">
        <v>34</v>
      </c>
      <c r="F104" s="2">
        <v>9289</v>
      </c>
      <c r="G104">
        <v>31</v>
      </c>
      <c r="H104" t="s">
        <v>35</v>
      </c>
      <c r="I104" s="2">
        <v>1724.24</v>
      </c>
      <c r="J104" s="2">
        <v>2036.2</v>
      </c>
      <c r="K104" t="s">
        <v>30</v>
      </c>
      <c r="L104" s="5">
        <v>0.17</v>
      </c>
      <c r="M104" t="s">
        <v>18</v>
      </c>
      <c r="N104" t="s">
        <v>19</v>
      </c>
      <c r="O104" t="s">
        <v>52</v>
      </c>
      <c r="P104" s="4">
        <f t="shared" si="2"/>
        <v>52391.425999999999</v>
      </c>
      <c r="Q104" s="4">
        <f t="shared" si="3"/>
        <v>-1060.0139999999988</v>
      </c>
      <c r="R104" t="str">
        <f>IF( Table1[[#This Row],[Total Amount after sale]] &gt; 0,"PROFIT","LOSS")</f>
        <v>LOSS</v>
      </c>
      <c r="S104" s="3">
        <f>(Table1[[#This Row],[Total Amount after sale]]/Table1[[#This Row],[Price after discount]])</f>
        <v>-2.0232585385249847E-2</v>
      </c>
    </row>
    <row r="105" spans="1:19" x14ac:dyDescent="0.3">
      <c r="A105">
        <v>1052</v>
      </c>
      <c r="B105" s="1">
        <v>44960</v>
      </c>
      <c r="C105" s="1">
        <f>DATE(YEAR(Table1[[#This Row],[Sale_Date]]), MONTH(Table1[[#This Row],[Sale_Date]]), 1)</f>
        <v>44958</v>
      </c>
      <c r="D105" t="s">
        <v>14</v>
      </c>
      <c r="E105" t="s">
        <v>15</v>
      </c>
      <c r="F105" s="2">
        <v>5053.97</v>
      </c>
      <c r="G105">
        <v>18</v>
      </c>
      <c r="H105" t="s">
        <v>16</v>
      </c>
      <c r="I105" s="2">
        <v>152.75</v>
      </c>
      <c r="J105" s="2">
        <v>267.22000000000003</v>
      </c>
      <c r="K105" t="s">
        <v>17</v>
      </c>
      <c r="L105" s="5">
        <v>0.09</v>
      </c>
      <c r="M105" t="s">
        <v>18</v>
      </c>
      <c r="N105" t="s">
        <v>19</v>
      </c>
      <c r="O105" t="s">
        <v>20</v>
      </c>
      <c r="P105" s="4">
        <f t="shared" si="2"/>
        <v>4377.0636000000004</v>
      </c>
      <c r="Q105" s="4">
        <f t="shared" si="3"/>
        <v>1627.5636000000004</v>
      </c>
      <c r="R105" t="str">
        <f>IF( Table1[[#This Row],[Total Amount after sale]] &gt; 0,"PROFIT","LOSS")</f>
        <v>PROFIT</v>
      </c>
      <c r="S105" s="3">
        <f>(Table1[[#This Row],[Total Amount after sale]]/Table1[[#This Row],[Price after discount]])</f>
        <v>0.37183914805350332</v>
      </c>
    </row>
    <row r="106" spans="1:19" x14ac:dyDescent="0.3">
      <c r="A106">
        <v>1013</v>
      </c>
      <c r="B106" s="1">
        <v>44960</v>
      </c>
      <c r="C106" s="1">
        <f>DATE(YEAR(Table1[[#This Row],[Sale_Date]]), MONTH(Table1[[#This Row],[Sale_Date]]), 1)</f>
        <v>44958</v>
      </c>
      <c r="D106" t="s">
        <v>14</v>
      </c>
      <c r="E106" t="s">
        <v>15</v>
      </c>
      <c r="F106" s="2">
        <v>6520.2</v>
      </c>
      <c r="G106">
        <v>42</v>
      </c>
      <c r="H106" t="s">
        <v>29</v>
      </c>
      <c r="I106" s="2">
        <v>4625.33</v>
      </c>
      <c r="J106" s="2">
        <v>4642.83</v>
      </c>
      <c r="K106" t="s">
        <v>30</v>
      </c>
      <c r="L106" s="5">
        <v>0.19</v>
      </c>
      <c r="M106" t="s">
        <v>31</v>
      </c>
      <c r="N106" t="s">
        <v>19</v>
      </c>
      <c r="O106" t="s">
        <v>20</v>
      </c>
      <c r="P106" s="4">
        <f t="shared" si="2"/>
        <v>157949.0766</v>
      </c>
      <c r="Q106" s="4">
        <f t="shared" si="3"/>
        <v>-36314.783399999993</v>
      </c>
      <c r="R106" t="str">
        <f>IF( Table1[[#This Row],[Total Amount after sale]] &gt; 0,"PROFIT","LOSS")</f>
        <v>LOSS</v>
      </c>
      <c r="S106" s="3">
        <f>(Table1[[#This Row],[Total Amount after sale]]/Table1[[#This Row],[Price after discount]])</f>
        <v>-0.22991450271004618</v>
      </c>
    </row>
    <row r="107" spans="1:19" x14ac:dyDescent="0.3">
      <c r="A107">
        <v>1035</v>
      </c>
      <c r="B107" s="1">
        <v>44960</v>
      </c>
      <c r="C107" s="1">
        <f>DATE(YEAR(Table1[[#This Row],[Sale_Date]]), MONTH(Table1[[#This Row],[Sale_Date]]), 1)</f>
        <v>44958</v>
      </c>
      <c r="D107" t="s">
        <v>33</v>
      </c>
      <c r="E107" t="s">
        <v>15</v>
      </c>
      <c r="F107" s="2">
        <v>1736.32</v>
      </c>
      <c r="G107">
        <v>5</v>
      </c>
      <c r="H107" t="s">
        <v>26</v>
      </c>
      <c r="I107" s="2">
        <v>4483.8500000000004</v>
      </c>
      <c r="J107" s="2">
        <v>4795.42</v>
      </c>
      <c r="K107" t="s">
        <v>17</v>
      </c>
      <c r="L107" s="5">
        <v>0.23</v>
      </c>
      <c r="M107" t="s">
        <v>18</v>
      </c>
      <c r="N107" t="s">
        <v>19</v>
      </c>
      <c r="O107" t="s">
        <v>53</v>
      </c>
      <c r="P107" s="4">
        <f t="shared" si="2"/>
        <v>18462.367000000002</v>
      </c>
      <c r="Q107" s="4">
        <f t="shared" si="3"/>
        <v>-3956.8830000000003</v>
      </c>
      <c r="R107" t="str">
        <f>IF( Table1[[#This Row],[Total Amount after sale]] &gt; 0,"PROFIT","LOSS")</f>
        <v>LOSS</v>
      </c>
      <c r="S107" s="3">
        <f>(Table1[[#This Row],[Total Amount after sale]]/Table1[[#This Row],[Price after discount]])</f>
        <v>-0.2143215439277098</v>
      </c>
    </row>
    <row r="108" spans="1:19" x14ac:dyDescent="0.3">
      <c r="A108">
        <v>1026</v>
      </c>
      <c r="B108" s="1">
        <v>44961</v>
      </c>
      <c r="C108" s="1">
        <f>DATE(YEAR(Table1[[#This Row],[Sale_Date]]), MONTH(Table1[[#This Row],[Sale_Date]]), 1)</f>
        <v>44958</v>
      </c>
      <c r="D108" t="s">
        <v>42</v>
      </c>
      <c r="E108" t="s">
        <v>21</v>
      </c>
      <c r="F108" s="2">
        <v>1554.93</v>
      </c>
      <c r="G108">
        <v>19</v>
      </c>
      <c r="H108" t="s">
        <v>35</v>
      </c>
      <c r="I108" s="2">
        <v>1265.48</v>
      </c>
      <c r="J108" s="2">
        <v>1715.83</v>
      </c>
      <c r="K108" t="s">
        <v>30</v>
      </c>
      <c r="L108" s="5">
        <v>0.05</v>
      </c>
      <c r="M108" t="s">
        <v>31</v>
      </c>
      <c r="N108" t="s">
        <v>22</v>
      </c>
      <c r="O108" t="s">
        <v>51</v>
      </c>
      <c r="P108" s="4">
        <f t="shared" si="2"/>
        <v>30970.731499999998</v>
      </c>
      <c r="Q108" s="4">
        <f t="shared" si="3"/>
        <v>6926.6114999999972</v>
      </c>
      <c r="R108" t="str">
        <f>IF( Table1[[#This Row],[Total Amount after sale]] &gt; 0,"PROFIT","LOSS")</f>
        <v>PROFIT</v>
      </c>
      <c r="S108" s="3">
        <f>(Table1[[#This Row],[Total Amount after sale]]/Table1[[#This Row],[Price after discount]])</f>
        <v>0.22365023893607414</v>
      </c>
    </row>
    <row r="109" spans="1:19" x14ac:dyDescent="0.3">
      <c r="A109">
        <v>1038</v>
      </c>
      <c r="B109" s="1">
        <v>44961</v>
      </c>
      <c r="C109" s="1">
        <f>DATE(YEAR(Table1[[#This Row],[Sale_Date]]), MONTH(Table1[[#This Row],[Sale_Date]]), 1)</f>
        <v>44958</v>
      </c>
      <c r="D109" t="s">
        <v>33</v>
      </c>
      <c r="E109" t="s">
        <v>15</v>
      </c>
      <c r="F109" s="2">
        <v>8753.31</v>
      </c>
      <c r="G109">
        <v>7</v>
      </c>
      <c r="H109" t="s">
        <v>16</v>
      </c>
      <c r="I109" s="2">
        <v>523.02</v>
      </c>
      <c r="J109" s="2">
        <v>686.25</v>
      </c>
      <c r="K109" t="s">
        <v>17</v>
      </c>
      <c r="L109" s="5">
        <v>0.04</v>
      </c>
      <c r="M109" t="s">
        <v>18</v>
      </c>
      <c r="N109" t="s">
        <v>19</v>
      </c>
      <c r="O109" t="s">
        <v>53</v>
      </c>
      <c r="P109" s="4">
        <f t="shared" si="2"/>
        <v>4611.5999999999995</v>
      </c>
      <c r="Q109" s="4">
        <f t="shared" si="3"/>
        <v>950.45999999999981</v>
      </c>
      <c r="R109" t="str">
        <f>IF( Table1[[#This Row],[Total Amount after sale]] &gt; 0,"PROFIT","LOSS")</f>
        <v>PROFIT</v>
      </c>
      <c r="S109" s="3">
        <f>(Table1[[#This Row],[Total Amount after sale]]/Table1[[#This Row],[Price after discount]])</f>
        <v>0.20610200364298722</v>
      </c>
    </row>
    <row r="110" spans="1:19" x14ac:dyDescent="0.3">
      <c r="A110">
        <v>1080</v>
      </c>
      <c r="B110" s="1">
        <v>44962</v>
      </c>
      <c r="C110" s="1">
        <f>DATE(YEAR(Table1[[#This Row],[Sale_Date]]), MONTH(Table1[[#This Row],[Sale_Date]]), 1)</f>
        <v>44958</v>
      </c>
      <c r="D110" t="s">
        <v>33</v>
      </c>
      <c r="E110" t="s">
        <v>25</v>
      </c>
      <c r="F110" s="2">
        <v>245.46</v>
      </c>
      <c r="G110">
        <v>9</v>
      </c>
      <c r="H110" t="s">
        <v>35</v>
      </c>
      <c r="I110" s="2">
        <v>1141.52</v>
      </c>
      <c r="J110" s="2">
        <v>1550.19</v>
      </c>
      <c r="K110" t="s">
        <v>30</v>
      </c>
      <c r="L110" s="5">
        <v>0.28000000000000003</v>
      </c>
      <c r="M110" t="s">
        <v>31</v>
      </c>
      <c r="N110" t="s">
        <v>22</v>
      </c>
      <c r="O110" t="s">
        <v>44</v>
      </c>
      <c r="P110" s="4">
        <f t="shared" si="2"/>
        <v>10045.2312</v>
      </c>
      <c r="Q110" s="4">
        <f t="shared" si="3"/>
        <v>-228.44879999999989</v>
      </c>
      <c r="R110" t="str">
        <f>IF( Table1[[#This Row],[Total Amount after sale]] &gt; 0,"PROFIT","LOSS")</f>
        <v>LOSS</v>
      </c>
      <c r="S110" s="3">
        <f>(Table1[[#This Row],[Total Amount after sale]]/Table1[[#This Row],[Price after discount]])</f>
        <v>-2.2742015136495802E-2</v>
      </c>
    </row>
    <row r="111" spans="1:19" x14ac:dyDescent="0.3">
      <c r="A111">
        <v>1048</v>
      </c>
      <c r="B111" s="1">
        <v>44962</v>
      </c>
      <c r="C111" s="1">
        <f>DATE(YEAR(Table1[[#This Row],[Sale_Date]]), MONTH(Table1[[#This Row],[Sale_Date]]), 1)</f>
        <v>44958</v>
      </c>
      <c r="D111" t="s">
        <v>24</v>
      </c>
      <c r="E111" t="s">
        <v>15</v>
      </c>
      <c r="F111" s="2">
        <v>9070.26</v>
      </c>
      <c r="G111">
        <v>42</v>
      </c>
      <c r="H111" t="s">
        <v>35</v>
      </c>
      <c r="I111" s="2">
        <v>4723.83</v>
      </c>
      <c r="J111" s="2">
        <v>5186.1899999999996</v>
      </c>
      <c r="K111" t="s">
        <v>17</v>
      </c>
      <c r="L111" s="5">
        <v>0.22</v>
      </c>
      <c r="M111" t="s">
        <v>31</v>
      </c>
      <c r="N111" t="s">
        <v>19</v>
      </c>
      <c r="O111" t="s">
        <v>45</v>
      </c>
      <c r="P111" s="4">
        <f t="shared" si="2"/>
        <v>169899.58439999999</v>
      </c>
      <c r="Q111" s="4">
        <f t="shared" si="3"/>
        <v>-28501.275599999997</v>
      </c>
      <c r="R111" t="str">
        <f>IF( Table1[[#This Row],[Total Amount after sale]] &gt; 0,"PROFIT","LOSS")</f>
        <v>LOSS</v>
      </c>
      <c r="S111" s="3">
        <f>(Table1[[#This Row],[Total Amount after sale]]/Table1[[#This Row],[Price after discount]])</f>
        <v>-0.16775365107956083</v>
      </c>
    </row>
    <row r="112" spans="1:19" x14ac:dyDescent="0.3">
      <c r="A112">
        <v>1030</v>
      </c>
      <c r="B112" s="1">
        <v>44962</v>
      </c>
      <c r="C112" s="1">
        <f>DATE(YEAR(Table1[[#This Row],[Sale_Date]]), MONTH(Table1[[#This Row],[Sale_Date]]), 1)</f>
        <v>44958</v>
      </c>
      <c r="D112" t="s">
        <v>24</v>
      </c>
      <c r="E112" t="s">
        <v>34</v>
      </c>
      <c r="F112" s="2">
        <v>236.08</v>
      </c>
      <c r="G112">
        <v>49</v>
      </c>
      <c r="H112" t="s">
        <v>16</v>
      </c>
      <c r="I112" s="2">
        <v>2590.29</v>
      </c>
      <c r="J112" s="2">
        <v>2925.86</v>
      </c>
      <c r="K112" t="s">
        <v>17</v>
      </c>
      <c r="L112" s="5">
        <v>0.26</v>
      </c>
      <c r="M112" t="s">
        <v>18</v>
      </c>
      <c r="N112" t="s">
        <v>22</v>
      </c>
      <c r="O112" t="s">
        <v>50</v>
      </c>
      <c r="P112" s="4">
        <f t="shared" si="2"/>
        <v>106091.68359999999</v>
      </c>
      <c r="Q112" s="4">
        <f t="shared" si="3"/>
        <v>-20832.526400000006</v>
      </c>
      <c r="R112" t="str">
        <f>IF( Table1[[#This Row],[Total Amount after sale]] &gt; 0,"PROFIT","LOSS")</f>
        <v>LOSS</v>
      </c>
      <c r="S112" s="3">
        <f>(Table1[[#This Row],[Total Amount after sale]]/Table1[[#This Row],[Price after discount]])</f>
        <v>-0.19636342541744722</v>
      </c>
    </row>
    <row r="113" spans="1:19" x14ac:dyDescent="0.3">
      <c r="A113">
        <v>1036</v>
      </c>
      <c r="B113" s="1">
        <v>44963</v>
      </c>
      <c r="C113" s="1">
        <f>DATE(YEAR(Table1[[#This Row],[Sale_Date]]), MONTH(Table1[[#This Row],[Sale_Date]]), 1)</f>
        <v>44958</v>
      </c>
      <c r="D113" t="s">
        <v>33</v>
      </c>
      <c r="E113" t="s">
        <v>34</v>
      </c>
      <c r="F113" s="2">
        <v>6242.69</v>
      </c>
      <c r="G113">
        <v>26</v>
      </c>
      <c r="H113" t="s">
        <v>35</v>
      </c>
      <c r="I113" s="2">
        <v>4266.3599999999997</v>
      </c>
      <c r="J113" s="2">
        <v>4331.4299999999903</v>
      </c>
      <c r="K113" t="s">
        <v>17</v>
      </c>
      <c r="L113" s="5">
        <v>0.14000000000000001</v>
      </c>
      <c r="M113" t="s">
        <v>31</v>
      </c>
      <c r="N113" t="s">
        <v>22</v>
      </c>
      <c r="O113" t="s">
        <v>36</v>
      </c>
      <c r="P113" s="4">
        <f t="shared" si="2"/>
        <v>96850.774799999781</v>
      </c>
      <c r="Q113" s="4">
        <f t="shared" si="3"/>
        <v>-14074.585200000209</v>
      </c>
      <c r="R113" t="str">
        <f>IF( Table1[[#This Row],[Total Amount after sale]] &gt; 0,"PROFIT","LOSS")</f>
        <v>LOSS</v>
      </c>
      <c r="S113" s="3">
        <f>(Table1[[#This Row],[Total Amount after sale]]/Table1[[#This Row],[Price after discount]])</f>
        <v>-0.14532238104511519</v>
      </c>
    </row>
    <row r="114" spans="1:19" x14ac:dyDescent="0.3">
      <c r="A114">
        <v>1027</v>
      </c>
      <c r="B114" s="1">
        <v>44963</v>
      </c>
      <c r="C114" s="1">
        <f>DATE(YEAR(Table1[[#This Row],[Sale_Date]]), MONTH(Table1[[#This Row],[Sale_Date]]), 1)</f>
        <v>44958</v>
      </c>
      <c r="D114" t="s">
        <v>38</v>
      </c>
      <c r="E114" t="s">
        <v>21</v>
      </c>
      <c r="F114" s="2">
        <v>3668.23</v>
      </c>
      <c r="G114">
        <v>45</v>
      </c>
      <c r="H114" t="s">
        <v>26</v>
      </c>
      <c r="I114" s="2">
        <v>1153.9000000000001</v>
      </c>
      <c r="J114" s="2">
        <v>1485.34</v>
      </c>
      <c r="K114" t="s">
        <v>30</v>
      </c>
      <c r="L114" s="5">
        <v>0.25</v>
      </c>
      <c r="M114" t="s">
        <v>31</v>
      </c>
      <c r="N114" t="s">
        <v>22</v>
      </c>
      <c r="O114" t="s">
        <v>41</v>
      </c>
      <c r="P114" s="4">
        <f t="shared" si="2"/>
        <v>50130.224999999991</v>
      </c>
      <c r="Q114" s="4">
        <f t="shared" si="3"/>
        <v>-1795.2750000000094</v>
      </c>
      <c r="R114" t="str">
        <f>IF( Table1[[#This Row],[Total Amount after sale]] &gt; 0,"PROFIT","LOSS")</f>
        <v>LOSS</v>
      </c>
      <c r="S114" s="3">
        <f>(Table1[[#This Row],[Total Amount after sale]]/Table1[[#This Row],[Price after discount]])</f>
        <v>-3.5812227054636395E-2</v>
      </c>
    </row>
    <row r="115" spans="1:19" x14ac:dyDescent="0.3">
      <c r="A115">
        <v>1026</v>
      </c>
      <c r="B115" s="1">
        <v>44963</v>
      </c>
      <c r="C115" s="1">
        <f>DATE(YEAR(Table1[[#This Row],[Sale_Date]]), MONTH(Table1[[#This Row],[Sale_Date]]), 1)</f>
        <v>44958</v>
      </c>
      <c r="D115" t="s">
        <v>14</v>
      </c>
      <c r="E115" t="s">
        <v>21</v>
      </c>
      <c r="F115" s="2">
        <v>961.47</v>
      </c>
      <c r="G115">
        <v>34</v>
      </c>
      <c r="H115" t="s">
        <v>35</v>
      </c>
      <c r="I115" s="2">
        <v>68.33</v>
      </c>
      <c r="J115" s="2">
        <v>219.07999999999899</v>
      </c>
      <c r="K115" t="s">
        <v>30</v>
      </c>
      <c r="L115" s="5">
        <v>0.02</v>
      </c>
      <c r="M115" t="s">
        <v>31</v>
      </c>
      <c r="N115" t="s">
        <v>19</v>
      </c>
      <c r="O115" t="s">
        <v>23</v>
      </c>
      <c r="P115" s="4">
        <f t="shared" si="2"/>
        <v>7299.7455999999656</v>
      </c>
      <c r="Q115" s="4">
        <f t="shared" si="3"/>
        <v>4976.5255999999654</v>
      </c>
      <c r="R115" t="str">
        <f>IF( Table1[[#This Row],[Total Amount after sale]] &gt; 0,"PROFIT","LOSS")</f>
        <v>PROFIT</v>
      </c>
      <c r="S115" s="3">
        <f>(Table1[[#This Row],[Total Amount after sale]]/Table1[[#This Row],[Price after discount]])</f>
        <v>0.68173959377433491</v>
      </c>
    </row>
    <row r="116" spans="1:19" x14ac:dyDescent="0.3">
      <c r="A116">
        <v>1081</v>
      </c>
      <c r="B116" s="1">
        <v>44964</v>
      </c>
      <c r="C116" s="1">
        <f>DATE(YEAR(Table1[[#This Row],[Sale_Date]]), MONTH(Table1[[#This Row],[Sale_Date]]), 1)</f>
        <v>44958</v>
      </c>
      <c r="D116" t="s">
        <v>24</v>
      </c>
      <c r="E116" t="s">
        <v>34</v>
      </c>
      <c r="F116" s="2">
        <v>3068.03</v>
      </c>
      <c r="G116">
        <v>41</v>
      </c>
      <c r="H116" t="s">
        <v>16</v>
      </c>
      <c r="I116" s="2">
        <v>2782.08</v>
      </c>
      <c r="J116" s="2">
        <v>2879.24</v>
      </c>
      <c r="K116" t="s">
        <v>30</v>
      </c>
      <c r="L116" s="5">
        <v>0.21</v>
      </c>
      <c r="M116" t="s">
        <v>27</v>
      </c>
      <c r="N116" t="s">
        <v>19</v>
      </c>
      <c r="O116" t="s">
        <v>50</v>
      </c>
      <c r="P116" s="4">
        <f t="shared" si="2"/>
        <v>93258.583599999998</v>
      </c>
      <c r="Q116" s="4">
        <f t="shared" si="3"/>
        <v>-20806.696399999997</v>
      </c>
      <c r="R116" t="str">
        <f>IF( Table1[[#This Row],[Total Amount after sale]] &gt; 0,"PROFIT","LOSS")</f>
        <v>LOSS</v>
      </c>
      <c r="S116" s="3">
        <f>(Table1[[#This Row],[Total Amount after sale]]/Table1[[#This Row],[Price after discount]])</f>
        <v>-0.22310757462544176</v>
      </c>
    </row>
    <row r="117" spans="1:19" x14ac:dyDescent="0.3">
      <c r="A117">
        <v>1072</v>
      </c>
      <c r="B117" s="1">
        <v>44964</v>
      </c>
      <c r="C117" s="1">
        <f>DATE(YEAR(Table1[[#This Row],[Sale_Date]]), MONTH(Table1[[#This Row],[Sale_Date]]), 1)</f>
        <v>44958</v>
      </c>
      <c r="D117" t="s">
        <v>14</v>
      </c>
      <c r="E117" t="s">
        <v>34</v>
      </c>
      <c r="F117" s="2">
        <v>5490.38</v>
      </c>
      <c r="G117">
        <v>26</v>
      </c>
      <c r="H117" t="s">
        <v>26</v>
      </c>
      <c r="I117" s="2">
        <v>3640.17</v>
      </c>
      <c r="J117" s="2">
        <v>4002.63</v>
      </c>
      <c r="K117" t="s">
        <v>30</v>
      </c>
      <c r="L117" s="5">
        <v>0.05</v>
      </c>
      <c r="M117" t="s">
        <v>31</v>
      </c>
      <c r="N117" t="s">
        <v>22</v>
      </c>
      <c r="O117" t="s">
        <v>46</v>
      </c>
      <c r="P117" s="4">
        <f t="shared" si="2"/>
        <v>98864.96100000001</v>
      </c>
      <c r="Q117" s="4">
        <f t="shared" si="3"/>
        <v>4220.541000000002</v>
      </c>
      <c r="R117" t="str">
        <f>IF( Table1[[#This Row],[Total Amount after sale]] &gt; 0,"PROFIT","LOSS")</f>
        <v>PROFIT</v>
      </c>
      <c r="S117" s="3">
        <f>(Table1[[#This Row],[Total Amount after sale]]/Table1[[#This Row],[Price after discount]])</f>
        <v>4.2689957668622373E-2</v>
      </c>
    </row>
    <row r="118" spans="1:19" x14ac:dyDescent="0.3">
      <c r="A118">
        <v>1077</v>
      </c>
      <c r="B118" s="1">
        <v>44964</v>
      </c>
      <c r="C118" s="1">
        <f>DATE(YEAR(Table1[[#This Row],[Sale_Date]]), MONTH(Table1[[#This Row],[Sale_Date]]), 1)</f>
        <v>44958</v>
      </c>
      <c r="D118" t="s">
        <v>38</v>
      </c>
      <c r="E118" t="s">
        <v>21</v>
      </c>
      <c r="F118" s="2">
        <v>9605.34</v>
      </c>
      <c r="G118">
        <v>12</v>
      </c>
      <c r="H118" t="s">
        <v>29</v>
      </c>
      <c r="I118" s="2">
        <v>2427.46</v>
      </c>
      <c r="J118" s="2">
        <v>2743.09</v>
      </c>
      <c r="K118" t="s">
        <v>30</v>
      </c>
      <c r="L118" s="5">
        <v>0.28999999999999998</v>
      </c>
      <c r="M118" t="s">
        <v>31</v>
      </c>
      <c r="N118" t="s">
        <v>22</v>
      </c>
      <c r="O118" t="s">
        <v>41</v>
      </c>
      <c r="P118" s="4">
        <f t="shared" si="2"/>
        <v>23371.126800000002</v>
      </c>
      <c r="Q118" s="4">
        <f t="shared" si="3"/>
        <v>-5758.3931999999995</v>
      </c>
      <c r="R118" t="str">
        <f>IF( Table1[[#This Row],[Total Amount after sale]] &gt; 0,"PROFIT","LOSS")</f>
        <v>LOSS</v>
      </c>
      <c r="S118" s="3">
        <f>(Table1[[#This Row],[Total Amount after sale]]/Table1[[#This Row],[Price after discount]])</f>
        <v>-0.24638919848742591</v>
      </c>
    </row>
    <row r="119" spans="1:19" x14ac:dyDescent="0.3">
      <c r="A119">
        <v>1027</v>
      </c>
      <c r="B119" s="1">
        <v>44964</v>
      </c>
      <c r="C119" s="1">
        <f>DATE(YEAR(Table1[[#This Row],[Sale_Date]]), MONTH(Table1[[#This Row],[Sale_Date]]), 1)</f>
        <v>44958</v>
      </c>
      <c r="D119" t="s">
        <v>14</v>
      </c>
      <c r="E119" t="s">
        <v>21</v>
      </c>
      <c r="F119" s="2">
        <v>7896.74</v>
      </c>
      <c r="G119">
        <v>3</v>
      </c>
      <c r="H119" t="s">
        <v>26</v>
      </c>
      <c r="I119" s="2">
        <v>999.09</v>
      </c>
      <c r="J119" s="2">
        <v>1271.99</v>
      </c>
      <c r="K119" t="s">
        <v>30</v>
      </c>
      <c r="L119" s="5">
        <v>0.15</v>
      </c>
      <c r="M119" t="s">
        <v>31</v>
      </c>
      <c r="N119" t="s">
        <v>19</v>
      </c>
      <c r="O119" t="s">
        <v>23</v>
      </c>
      <c r="P119" s="4">
        <f t="shared" si="2"/>
        <v>3243.5744999999997</v>
      </c>
      <c r="Q119" s="4">
        <f t="shared" si="3"/>
        <v>246.30449999999962</v>
      </c>
      <c r="R119" t="str">
        <f>IF( Table1[[#This Row],[Total Amount after sale]] &gt; 0,"PROFIT","LOSS")</f>
        <v>PROFIT</v>
      </c>
      <c r="S119" s="3">
        <f>(Table1[[#This Row],[Total Amount after sale]]/Table1[[#This Row],[Price after discount]])</f>
        <v>7.5936131573361321E-2</v>
      </c>
    </row>
    <row r="120" spans="1:19" x14ac:dyDescent="0.3">
      <c r="A120">
        <v>1017</v>
      </c>
      <c r="B120" s="1">
        <v>44964</v>
      </c>
      <c r="C120" s="1">
        <f>DATE(YEAR(Table1[[#This Row],[Sale_Date]]), MONTH(Table1[[#This Row],[Sale_Date]]), 1)</f>
        <v>44958</v>
      </c>
      <c r="D120" t="s">
        <v>33</v>
      </c>
      <c r="E120" t="s">
        <v>21</v>
      </c>
      <c r="F120" s="2">
        <v>7542.3</v>
      </c>
      <c r="G120">
        <v>2</v>
      </c>
      <c r="H120" t="s">
        <v>26</v>
      </c>
      <c r="I120" s="2">
        <v>728.41</v>
      </c>
      <c r="J120" s="2">
        <v>1094.92</v>
      </c>
      <c r="K120" t="s">
        <v>30</v>
      </c>
      <c r="L120" s="5">
        <v>0.24</v>
      </c>
      <c r="M120" t="s">
        <v>18</v>
      </c>
      <c r="N120" t="s">
        <v>22</v>
      </c>
      <c r="O120" t="s">
        <v>37</v>
      </c>
      <c r="P120" s="4">
        <f t="shared" si="2"/>
        <v>1664.2784000000001</v>
      </c>
      <c r="Q120" s="4">
        <f t="shared" si="3"/>
        <v>207.45840000000021</v>
      </c>
      <c r="R120" t="str">
        <f>IF( Table1[[#This Row],[Total Amount after sale]] &gt; 0,"PROFIT","LOSS")</f>
        <v>PROFIT</v>
      </c>
      <c r="S120" s="3">
        <f>(Table1[[#This Row],[Total Amount after sale]]/Table1[[#This Row],[Price after discount]])</f>
        <v>0.12465366371395567</v>
      </c>
    </row>
    <row r="121" spans="1:19" x14ac:dyDescent="0.3">
      <c r="A121">
        <v>1078</v>
      </c>
      <c r="B121" s="1">
        <v>44965</v>
      </c>
      <c r="C121" s="1">
        <f>DATE(YEAR(Table1[[#This Row],[Sale_Date]]), MONTH(Table1[[#This Row],[Sale_Date]]), 1)</f>
        <v>44958</v>
      </c>
      <c r="D121" t="s">
        <v>42</v>
      </c>
      <c r="E121" t="s">
        <v>25</v>
      </c>
      <c r="F121" s="2">
        <v>9813.32</v>
      </c>
      <c r="G121">
        <v>49</v>
      </c>
      <c r="H121" t="s">
        <v>16</v>
      </c>
      <c r="I121" s="2">
        <v>3026.85</v>
      </c>
      <c r="J121" s="2">
        <v>3183.58</v>
      </c>
      <c r="K121" t="s">
        <v>17</v>
      </c>
      <c r="L121" s="5">
        <v>0.25</v>
      </c>
      <c r="M121" t="s">
        <v>18</v>
      </c>
      <c r="N121" t="s">
        <v>22</v>
      </c>
      <c r="O121" t="s">
        <v>43</v>
      </c>
      <c r="P121" s="4">
        <f t="shared" si="2"/>
        <v>116996.565</v>
      </c>
      <c r="Q121" s="4">
        <f t="shared" si="3"/>
        <v>-31319.084999999999</v>
      </c>
      <c r="R121" t="str">
        <f>IF( Table1[[#This Row],[Total Amount after sale]] &gt; 0,"PROFIT","LOSS")</f>
        <v>LOSS</v>
      </c>
      <c r="S121" s="3">
        <f>(Table1[[#This Row],[Total Amount after sale]]/Table1[[#This Row],[Price after discount]])</f>
        <v>-0.26769234635221983</v>
      </c>
    </row>
    <row r="122" spans="1:19" x14ac:dyDescent="0.3">
      <c r="A122">
        <v>1048</v>
      </c>
      <c r="B122" s="1">
        <v>44965</v>
      </c>
      <c r="C122" s="1">
        <f>DATE(YEAR(Table1[[#This Row],[Sale_Date]]), MONTH(Table1[[#This Row],[Sale_Date]]), 1)</f>
        <v>44958</v>
      </c>
      <c r="D122" t="s">
        <v>33</v>
      </c>
      <c r="E122" t="s">
        <v>21</v>
      </c>
      <c r="F122" s="2">
        <v>7454.53</v>
      </c>
      <c r="G122">
        <v>27</v>
      </c>
      <c r="H122" t="s">
        <v>29</v>
      </c>
      <c r="I122" s="2">
        <v>3197.76</v>
      </c>
      <c r="J122" s="2">
        <v>3572.61</v>
      </c>
      <c r="K122" t="s">
        <v>17</v>
      </c>
      <c r="L122" s="5">
        <v>0.08</v>
      </c>
      <c r="M122" t="s">
        <v>31</v>
      </c>
      <c r="N122" t="s">
        <v>19</v>
      </c>
      <c r="O122" t="s">
        <v>37</v>
      </c>
      <c r="P122" s="4">
        <f t="shared" si="2"/>
        <v>88743.632400000002</v>
      </c>
      <c r="Q122" s="4">
        <f t="shared" si="3"/>
        <v>2404.1124000000032</v>
      </c>
      <c r="R122" t="str">
        <f>IF( Table1[[#This Row],[Total Amount after sale]] &gt; 0,"PROFIT","LOSS")</f>
        <v>PROFIT</v>
      </c>
      <c r="S122" s="3">
        <f>(Table1[[#This Row],[Total Amount after sale]]/Table1[[#This Row],[Price after discount]])</f>
        <v>2.7090534103492513E-2</v>
      </c>
    </row>
    <row r="123" spans="1:19" x14ac:dyDescent="0.3">
      <c r="A123">
        <v>1033</v>
      </c>
      <c r="B123" s="1">
        <v>44965</v>
      </c>
      <c r="C123" s="1">
        <f>DATE(YEAR(Table1[[#This Row],[Sale_Date]]), MONTH(Table1[[#This Row],[Sale_Date]]), 1)</f>
        <v>44958</v>
      </c>
      <c r="D123" t="s">
        <v>38</v>
      </c>
      <c r="E123" t="s">
        <v>15</v>
      </c>
      <c r="F123" s="2">
        <v>8395.2900000000009</v>
      </c>
      <c r="G123">
        <v>39</v>
      </c>
      <c r="H123" t="s">
        <v>35</v>
      </c>
      <c r="I123" s="2">
        <v>4232.8100000000004</v>
      </c>
      <c r="J123" s="2">
        <v>4345.25</v>
      </c>
      <c r="K123" t="s">
        <v>17</v>
      </c>
      <c r="L123" s="5">
        <v>0.12</v>
      </c>
      <c r="M123" t="s">
        <v>27</v>
      </c>
      <c r="N123" t="s">
        <v>19</v>
      </c>
      <c r="O123" t="s">
        <v>40</v>
      </c>
      <c r="P123" s="4">
        <f t="shared" si="2"/>
        <v>149128.98000000001</v>
      </c>
      <c r="Q123" s="4">
        <f t="shared" si="3"/>
        <v>-15950.61000000001</v>
      </c>
      <c r="R123" t="str">
        <f>IF( Table1[[#This Row],[Total Amount after sale]] &gt; 0,"PROFIT","LOSS")</f>
        <v>LOSS</v>
      </c>
      <c r="S123" s="3">
        <f>(Table1[[#This Row],[Total Amount after sale]]/Table1[[#This Row],[Price after discount]])</f>
        <v>-0.10695848653963842</v>
      </c>
    </row>
    <row r="124" spans="1:19" x14ac:dyDescent="0.3">
      <c r="A124">
        <v>1090</v>
      </c>
      <c r="B124" s="1">
        <v>44965</v>
      </c>
      <c r="C124" s="1">
        <f>DATE(YEAR(Table1[[#This Row],[Sale_Date]]), MONTH(Table1[[#This Row],[Sale_Date]]), 1)</f>
        <v>44958</v>
      </c>
      <c r="D124" t="s">
        <v>33</v>
      </c>
      <c r="E124" t="s">
        <v>15</v>
      </c>
      <c r="F124" s="2">
        <v>1740.91</v>
      </c>
      <c r="G124">
        <v>44</v>
      </c>
      <c r="H124" t="s">
        <v>29</v>
      </c>
      <c r="I124" s="2">
        <v>3542.18</v>
      </c>
      <c r="J124" s="2">
        <v>3578.49</v>
      </c>
      <c r="K124" t="s">
        <v>17</v>
      </c>
      <c r="L124" s="5">
        <v>0.12</v>
      </c>
      <c r="M124" t="s">
        <v>18</v>
      </c>
      <c r="N124" t="s">
        <v>19</v>
      </c>
      <c r="O124" t="s">
        <v>53</v>
      </c>
      <c r="P124" s="4">
        <f t="shared" si="2"/>
        <v>138559.13279999999</v>
      </c>
      <c r="Q124" s="4">
        <f t="shared" si="3"/>
        <v>-17296.787199999999</v>
      </c>
      <c r="R124" t="str">
        <f>IF( Table1[[#This Row],[Total Amount after sale]] &gt; 0,"PROFIT","LOSS")</f>
        <v>LOSS</v>
      </c>
      <c r="S124" s="3">
        <f>(Table1[[#This Row],[Total Amount after sale]]/Table1[[#This Row],[Price after discount]])</f>
        <v>-0.12483325242058674</v>
      </c>
    </row>
    <row r="125" spans="1:19" x14ac:dyDescent="0.3">
      <c r="A125">
        <v>1015</v>
      </c>
      <c r="B125" s="1">
        <v>44965</v>
      </c>
      <c r="C125" s="1">
        <f>DATE(YEAR(Table1[[#This Row],[Sale_Date]]), MONTH(Table1[[#This Row],[Sale_Date]]), 1)</f>
        <v>44958</v>
      </c>
      <c r="D125" t="s">
        <v>33</v>
      </c>
      <c r="E125" t="s">
        <v>34</v>
      </c>
      <c r="F125" s="2">
        <v>2669.81</v>
      </c>
      <c r="G125">
        <v>23</v>
      </c>
      <c r="H125" t="s">
        <v>35</v>
      </c>
      <c r="I125" s="2">
        <v>2644.77</v>
      </c>
      <c r="J125" s="2">
        <v>2684.83</v>
      </c>
      <c r="K125" t="s">
        <v>30</v>
      </c>
      <c r="L125" s="5">
        <v>0.24</v>
      </c>
      <c r="M125" t="s">
        <v>18</v>
      </c>
      <c r="N125" t="s">
        <v>19</v>
      </c>
      <c r="O125" t="s">
        <v>36</v>
      </c>
      <c r="P125" s="4">
        <f t="shared" si="2"/>
        <v>46930.828399999999</v>
      </c>
      <c r="Q125" s="4">
        <f t="shared" si="3"/>
        <v>-13898.881599999999</v>
      </c>
      <c r="R125" t="str">
        <f>IF( Table1[[#This Row],[Total Amount after sale]] &gt; 0,"PROFIT","LOSS")</f>
        <v>LOSS</v>
      </c>
      <c r="S125" s="3">
        <f>(Table1[[#This Row],[Total Amount after sale]]/Table1[[#This Row],[Price after discount]])</f>
        <v>-0.29615674970697936</v>
      </c>
    </row>
    <row r="126" spans="1:19" x14ac:dyDescent="0.3">
      <c r="A126">
        <v>1027</v>
      </c>
      <c r="B126" s="1">
        <v>44965</v>
      </c>
      <c r="C126" s="1">
        <f>DATE(YEAR(Table1[[#This Row],[Sale_Date]]), MONTH(Table1[[#This Row],[Sale_Date]]), 1)</f>
        <v>44958</v>
      </c>
      <c r="D126" t="s">
        <v>42</v>
      </c>
      <c r="E126" t="s">
        <v>21</v>
      </c>
      <c r="F126" s="2">
        <v>7179.49</v>
      </c>
      <c r="G126">
        <v>20</v>
      </c>
      <c r="H126" t="s">
        <v>35</v>
      </c>
      <c r="I126" s="2">
        <v>1748.11</v>
      </c>
      <c r="J126" s="2">
        <v>2220.9</v>
      </c>
      <c r="K126" t="s">
        <v>30</v>
      </c>
      <c r="L126" s="5">
        <v>0.23</v>
      </c>
      <c r="M126" t="s">
        <v>31</v>
      </c>
      <c r="N126" t="s">
        <v>22</v>
      </c>
      <c r="O126" t="s">
        <v>51</v>
      </c>
      <c r="P126" s="4">
        <f t="shared" si="2"/>
        <v>34201.86</v>
      </c>
      <c r="Q126" s="4">
        <f t="shared" si="3"/>
        <v>-760.33999999999651</v>
      </c>
      <c r="R126" t="str">
        <f>IF( Table1[[#This Row],[Total Amount after sale]] &gt; 0,"PROFIT","LOSS")</f>
        <v>LOSS</v>
      </c>
      <c r="S126" s="3">
        <f>(Table1[[#This Row],[Total Amount after sale]]/Table1[[#This Row],[Price after discount]])</f>
        <v>-2.2230954690768176E-2</v>
      </c>
    </row>
    <row r="127" spans="1:19" x14ac:dyDescent="0.3">
      <c r="A127">
        <v>1092</v>
      </c>
      <c r="B127" s="1">
        <v>44966</v>
      </c>
      <c r="C127" s="1">
        <f>DATE(YEAR(Table1[[#This Row],[Sale_Date]]), MONTH(Table1[[#This Row],[Sale_Date]]), 1)</f>
        <v>44958</v>
      </c>
      <c r="D127" t="s">
        <v>24</v>
      </c>
      <c r="E127" t="s">
        <v>21</v>
      </c>
      <c r="F127" s="2">
        <v>2749.17</v>
      </c>
      <c r="G127">
        <v>34</v>
      </c>
      <c r="H127" t="s">
        <v>16</v>
      </c>
      <c r="I127" s="2">
        <v>2037.41</v>
      </c>
      <c r="J127" s="2">
        <v>2238.65</v>
      </c>
      <c r="K127" t="s">
        <v>30</v>
      </c>
      <c r="L127" s="5">
        <v>0.3</v>
      </c>
      <c r="M127" t="s">
        <v>31</v>
      </c>
      <c r="N127" t="s">
        <v>19</v>
      </c>
      <c r="O127" t="s">
        <v>47</v>
      </c>
      <c r="P127" s="4">
        <f t="shared" si="2"/>
        <v>53279.87</v>
      </c>
      <c r="Q127" s="4">
        <f t="shared" si="3"/>
        <v>-15992.07</v>
      </c>
      <c r="R127" t="str">
        <f>IF( Table1[[#This Row],[Total Amount after sale]] &gt; 0,"PROFIT","LOSS")</f>
        <v>LOSS</v>
      </c>
      <c r="S127" s="3">
        <f>(Table1[[#This Row],[Total Amount after sale]]/Table1[[#This Row],[Price after discount]])</f>
        <v>-0.30015219631729578</v>
      </c>
    </row>
    <row r="128" spans="1:19" x14ac:dyDescent="0.3">
      <c r="A128">
        <v>1046</v>
      </c>
      <c r="B128" s="1">
        <v>44966</v>
      </c>
      <c r="C128" s="1">
        <f>DATE(YEAR(Table1[[#This Row],[Sale_Date]]), MONTH(Table1[[#This Row],[Sale_Date]]), 1)</f>
        <v>44958</v>
      </c>
      <c r="D128" t="s">
        <v>33</v>
      </c>
      <c r="E128" t="s">
        <v>34</v>
      </c>
      <c r="F128" s="2">
        <v>9709.7000000000007</v>
      </c>
      <c r="G128">
        <v>3</v>
      </c>
      <c r="H128" t="s">
        <v>16</v>
      </c>
      <c r="I128" s="2">
        <v>1216.1600000000001</v>
      </c>
      <c r="J128" s="2">
        <v>1295.3699999999999</v>
      </c>
      <c r="K128" t="s">
        <v>30</v>
      </c>
      <c r="L128" s="5">
        <v>0.14000000000000001</v>
      </c>
      <c r="M128" t="s">
        <v>18</v>
      </c>
      <c r="N128" t="s">
        <v>22</v>
      </c>
      <c r="O128" t="s">
        <v>36</v>
      </c>
      <c r="P128" s="4">
        <f t="shared" si="2"/>
        <v>3342.0545999999999</v>
      </c>
      <c r="Q128" s="4">
        <f t="shared" si="3"/>
        <v>-306.42540000000031</v>
      </c>
      <c r="R128" t="str">
        <f>IF( Table1[[#This Row],[Total Amount after sale]] &gt; 0,"PROFIT","LOSS")</f>
        <v>LOSS</v>
      </c>
      <c r="S128" s="3">
        <f>(Table1[[#This Row],[Total Amount after sale]]/Table1[[#This Row],[Price after discount]])</f>
        <v>-9.1687730056833991E-2</v>
      </c>
    </row>
    <row r="129" spans="1:19" x14ac:dyDescent="0.3">
      <c r="A129">
        <v>1038</v>
      </c>
      <c r="B129" s="1">
        <v>44966</v>
      </c>
      <c r="C129" s="1">
        <f>DATE(YEAR(Table1[[#This Row],[Sale_Date]]), MONTH(Table1[[#This Row],[Sale_Date]]), 1)</f>
        <v>44958</v>
      </c>
      <c r="D129" t="s">
        <v>42</v>
      </c>
      <c r="E129" t="s">
        <v>34</v>
      </c>
      <c r="F129" s="2">
        <v>5529.35</v>
      </c>
      <c r="G129">
        <v>16</v>
      </c>
      <c r="H129" t="s">
        <v>16</v>
      </c>
      <c r="I129" s="2">
        <v>3899.7</v>
      </c>
      <c r="J129" s="2">
        <v>4228.18</v>
      </c>
      <c r="K129" t="s">
        <v>30</v>
      </c>
      <c r="L129" s="5">
        <v>0.27</v>
      </c>
      <c r="M129" t="s">
        <v>18</v>
      </c>
      <c r="N129" t="s">
        <v>22</v>
      </c>
      <c r="O129" t="s">
        <v>52</v>
      </c>
      <c r="P129" s="4">
        <f t="shared" si="2"/>
        <v>49385.142400000004</v>
      </c>
      <c r="Q129" s="4">
        <f t="shared" si="3"/>
        <v>-13010.057599999993</v>
      </c>
      <c r="R129" t="str">
        <f>IF( Table1[[#This Row],[Total Amount after sale]] &gt; 0,"PROFIT","LOSS")</f>
        <v>LOSS</v>
      </c>
      <c r="S129" s="3">
        <f>(Table1[[#This Row],[Total Amount after sale]]/Table1[[#This Row],[Price after discount]])</f>
        <v>-0.26344072260891144</v>
      </c>
    </row>
    <row r="130" spans="1:19" x14ac:dyDescent="0.3">
      <c r="A130">
        <v>1039</v>
      </c>
      <c r="B130" s="1">
        <v>44966</v>
      </c>
      <c r="C130" s="1">
        <f>DATE(YEAR(Table1[[#This Row],[Sale_Date]]), MONTH(Table1[[#This Row],[Sale_Date]]), 1)</f>
        <v>44958</v>
      </c>
      <c r="D130" t="s">
        <v>24</v>
      </c>
      <c r="E130" t="s">
        <v>25</v>
      </c>
      <c r="F130" s="2">
        <v>9091.4599999999991</v>
      </c>
      <c r="G130">
        <v>20</v>
      </c>
      <c r="H130" t="s">
        <v>26</v>
      </c>
      <c r="I130" s="2">
        <v>2014.11</v>
      </c>
      <c r="J130" s="2">
        <v>2056.35</v>
      </c>
      <c r="K130" t="s">
        <v>17</v>
      </c>
      <c r="L130" s="5">
        <v>0.21</v>
      </c>
      <c r="M130" t="s">
        <v>27</v>
      </c>
      <c r="N130" t="s">
        <v>22</v>
      </c>
      <c r="O130" t="s">
        <v>28</v>
      </c>
      <c r="P130" s="4">
        <f t="shared" ref="P130:P193" si="4" xml:space="preserve"> J130 * (1 - L130) * G130</f>
        <v>32490.329999999998</v>
      </c>
      <c r="Q130" s="4">
        <f t="shared" ref="Q130:Q193" si="5" xml:space="preserve"> (J130 * (1 - L130) - I130) * G130</f>
        <v>-7791.869999999999</v>
      </c>
      <c r="R130" t="str">
        <f>IF( Table1[[#This Row],[Total Amount after sale]] &gt; 0,"PROFIT","LOSS")</f>
        <v>LOSS</v>
      </c>
      <c r="S130" s="3">
        <f>(Table1[[#This Row],[Total Amount after sale]]/Table1[[#This Row],[Price after discount]])</f>
        <v>-0.23982120218538869</v>
      </c>
    </row>
    <row r="131" spans="1:19" x14ac:dyDescent="0.3">
      <c r="A131">
        <v>1092</v>
      </c>
      <c r="B131" s="1">
        <v>44966</v>
      </c>
      <c r="C131" s="1">
        <f>DATE(YEAR(Table1[[#This Row],[Sale_Date]]), MONTH(Table1[[#This Row],[Sale_Date]]), 1)</f>
        <v>44958</v>
      </c>
      <c r="D131" t="s">
        <v>42</v>
      </c>
      <c r="E131" t="s">
        <v>25</v>
      </c>
      <c r="F131" s="2">
        <v>7192.33</v>
      </c>
      <c r="G131">
        <v>14</v>
      </c>
      <c r="H131" t="s">
        <v>29</v>
      </c>
      <c r="I131" s="2">
        <v>3586.58</v>
      </c>
      <c r="J131" s="2">
        <v>4068.43</v>
      </c>
      <c r="K131" t="s">
        <v>30</v>
      </c>
      <c r="L131" s="5">
        <v>0.22</v>
      </c>
      <c r="M131" t="s">
        <v>31</v>
      </c>
      <c r="N131" t="s">
        <v>19</v>
      </c>
      <c r="O131" t="s">
        <v>43</v>
      </c>
      <c r="P131" s="4">
        <f t="shared" si="4"/>
        <v>44427.255599999997</v>
      </c>
      <c r="Q131" s="4">
        <f t="shared" si="5"/>
        <v>-5784.8644000000004</v>
      </c>
      <c r="R131" t="str">
        <f>IF( Table1[[#This Row],[Total Amount after sale]] &gt; 0,"PROFIT","LOSS")</f>
        <v>LOSS</v>
      </c>
      <c r="S131" s="3">
        <f>(Table1[[#This Row],[Total Amount after sale]]/Table1[[#This Row],[Price after discount]])</f>
        <v>-0.1302098075128458</v>
      </c>
    </row>
    <row r="132" spans="1:19" x14ac:dyDescent="0.3">
      <c r="A132">
        <v>1020</v>
      </c>
      <c r="B132" s="1">
        <v>44966</v>
      </c>
      <c r="C132" s="1">
        <f>DATE(YEAR(Table1[[#This Row],[Sale_Date]]), MONTH(Table1[[#This Row],[Sale_Date]]), 1)</f>
        <v>44958</v>
      </c>
      <c r="D132" t="s">
        <v>33</v>
      </c>
      <c r="E132" t="s">
        <v>34</v>
      </c>
      <c r="F132" s="2">
        <v>2102.3200000000002</v>
      </c>
      <c r="G132">
        <v>29</v>
      </c>
      <c r="H132" t="s">
        <v>35</v>
      </c>
      <c r="I132" s="2">
        <v>184.05</v>
      </c>
      <c r="J132" s="2">
        <v>675.91</v>
      </c>
      <c r="K132" t="s">
        <v>17</v>
      </c>
      <c r="L132" s="5">
        <v>0.1</v>
      </c>
      <c r="M132" t="s">
        <v>18</v>
      </c>
      <c r="N132" t="s">
        <v>22</v>
      </c>
      <c r="O132" t="s">
        <v>36</v>
      </c>
      <c r="P132" s="4">
        <f t="shared" si="4"/>
        <v>17641.251</v>
      </c>
      <c r="Q132" s="4">
        <f t="shared" si="5"/>
        <v>12303.800999999998</v>
      </c>
      <c r="R132" t="str">
        <f>IF( Table1[[#This Row],[Total Amount after sale]] &gt; 0,"PROFIT","LOSS")</f>
        <v>PROFIT</v>
      </c>
      <c r="S132" s="3">
        <f>(Table1[[#This Row],[Total Amount after sale]]/Table1[[#This Row],[Price after discount]])</f>
        <v>0.69744492609962849</v>
      </c>
    </row>
    <row r="133" spans="1:19" x14ac:dyDescent="0.3">
      <c r="A133">
        <v>1024</v>
      </c>
      <c r="B133" s="1">
        <v>44967</v>
      </c>
      <c r="C133" s="1">
        <f>DATE(YEAR(Table1[[#This Row],[Sale_Date]]), MONTH(Table1[[#This Row],[Sale_Date]]), 1)</f>
        <v>44958</v>
      </c>
      <c r="D133" t="s">
        <v>24</v>
      </c>
      <c r="E133" t="s">
        <v>34</v>
      </c>
      <c r="F133" s="2">
        <v>6274.12</v>
      </c>
      <c r="G133">
        <v>13</v>
      </c>
      <c r="H133" t="s">
        <v>29</v>
      </c>
      <c r="I133" s="2">
        <v>1493.88</v>
      </c>
      <c r="J133" s="2">
        <v>1781.09</v>
      </c>
      <c r="K133" t="s">
        <v>30</v>
      </c>
      <c r="L133" s="5">
        <v>0.04</v>
      </c>
      <c r="M133" t="s">
        <v>18</v>
      </c>
      <c r="N133" t="s">
        <v>22</v>
      </c>
      <c r="O133" t="s">
        <v>50</v>
      </c>
      <c r="P133" s="4">
        <f t="shared" si="4"/>
        <v>22228.003199999999</v>
      </c>
      <c r="Q133" s="4">
        <f t="shared" si="5"/>
        <v>2807.5631999999973</v>
      </c>
      <c r="R133" t="str">
        <f>IF( Table1[[#This Row],[Total Amount after sale]] &gt; 0,"PROFIT","LOSS")</f>
        <v>PROFIT</v>
      </c>
      <c r="S133" s="3">
        <f>(Table1[[#This Row],[Total Amount after sale]]/Table1[[#This Row],[Price after discount]])</f>
        <v>0.12630748586539692</v>
      </c>
    </row>
    <row r="134" spans="1:19" x14ac:dyDescent="0.3">
      <c r="A134">
        <v>1056</v>
      </c>
      <c r="B134" s="1">
        <v>44967</v>
      </c>
      <c r="C134" s="1">
        <f>DATE(YEAR(Table1[[#This Row],[Sale_Date]]), MONTH(Table1[[#This Row],[Sale_Date]]), 1)</f>
        <v>44958</v>
      </c>
      <c r="D134" t="s">
        <v>14</v>
      </c>
      <c r="E134" t="s">
        <v>21</v>
      </c>
      <c r="F134" s="2">
        <v>3063.9</v>
      </c>
      <c r="G134">
        <v>42</v>
      </c>
      <c r="H134" t="s">
        <v>16</v>
      </c>
      <c r="I134" s="2">
        <v>1080.1199999999999</v>
      </c>
      <c r="J134" s="2">
        <v>1424.1699999999901</v>
      </c>
      <c r="K134" t="s">
        <v>30</v>
      </c>
      <c r="L134" s="5">
        <v>0.1</v>
      </c>
      <c r="M134" t="s">
        <v>18</v>
      </c>
      <c r="N134" t="s">
        <v>19</v>
      </c>
      <c r="O134" t="s">
        <v>23</v>
      </c>
      <c r="P134" s="4">
        <f t="shared" si="4"/>
        <v>53833.625999999625</v>
      </c>
      <c r="Q134" s="4">
        <f t="shared" si="5"/>
        <v>8468.5859999996283</v>
      </c>
      <c r="R134" t="str">
        <f>IF( Table1[[#This Row],[Total Amount after sale]] &gt; 0,"PROFIT","LOSS")</f>
        <v>PROFIT</v>
      </c>
      <c r="S134" s="3">
        <f>(Table1[[#This Row],[Total Amount after sale]]/Table1[[#This Row],[Price after discount]])</f>
        <v>0.15731033982365755</v>
      </c>
    </row>
    <row r="135" spans="1:19" x14ac:dyDescent="0.3">
      <c r="A135">
        <v>1092</v>
      </c>
      <c r="B135" s="1">
        <v>44967</v>
      </c>
      <c r="C135" s="1">
        <f>DATE(YEAR(Table1[[#This Row],[Sale_Date]]), MONTH(Table1[[#This Row],[Sale_Date]]), 1)</f>
        <v>44958</v>
      </c>
      <c r="D135" t="s">
        <v>14</v>
      </c>
      <c r="E135" t="s">
        <v>34</v>
      </c>
      <c r="F135" s="2">
        <v>5426.42</v>
      </c>
      <c r="G135">
        <v>47</v>
      </c>
      <c r="H135" t="s">
        <v>16</v>
      </c>
      <c r="I135" s="2">
        <v>3681.53</v>
      </c>
      <c r="J135" s="2">
        <v>4076.96</v>
      </c>
      <c r="K135" t="s">
        <v>17</v>
      </c>
      <c r="L135" s="5">
        <v>0.17</v>
      </c>
      <c r="M135" t="s">
        <v>18</v>
      </c>
      <c r="N135" t="s">
        <v>22</v>
      </c>
      <c r="O135" t="s">
        <v>46</v>
      </c>
      <c r="P135" s="4">
        <f t="shared" si="4"/>
        <v>159042.2096</v>
      </c>
      <c r="Q135" s="4">
        <f t="shared" si="5"/>
        <v>-13989.700400000009</v>
      </c>
      <c r="R135" t="str">
        <f>IF( Table1[[#This Row],[Total Amount after sale]] &gt; 0,"PROFIT","LOSS")</f>
        <v>LOSS</v>
      </c>
      <c r="S135" s="3">
        <f>(Table1[[#This Row],[Total Amount after sale]]/Table1[[#This Row],[Price after discount]])</f>
        <v>-8.7962185857357503E-2</v>
      </c>
    </row>
    <row r="136" spans="1:19" x14ac:dyDescent="0.3">
      <c r="A136">
        <v>1021</v>
      </c>
      <c r="B136" s="1">
        <v>44968</v>
      </c>
      <c r="C136" s="1">
        <f>DATE(YEAR(Table1[[#This Row],[Sale_Date]]), MONTH(Table1[[#This Row],[Sale_Date]]), 1)</f>
        <v>44958</v>
      </c>
      <c r="D136" t="s">
        <v>33</v>
      </c>
      <c r="E136" t="s">
        <v>21</v>
      </c>
      <c r="F136" s="2">
        <v>3761.15</v>
      </c>
      <c r="G136">
        <v>32</v>
      </c>
      <c r="H136" t="s">
        <v>26</v>
      </c>
      <c r="I136" s="2">
        <v>900.79</v>
      </c>
      <c r="J136" s="2">
        <v>1106.51</v>
      </c>
      <c r="K136" t="s">
        <v>30</v>
      </c>
      <c r="L136" s="5">
        <v>0.21</v>
      </c>
      <c r="M136" t="s">
        <v>18</v>
      </c>
      <c r="N136" t="s">
        <v>19</v>
      </c>
      <c r="O136" t="s">
        <v>37</v>
      </c>
      <c r="P136" s="4">
        <f t="shared" si="4"/>
        <v>27972.572800000002</v>
      </c>
      <c r="Q136" s="4">
        <f t="shared" si="5"/>
        <v>-852.7071999999971</v>
      </c>
      <c r="R136" t="str">
        <f>IF( Table1[[#This Row],[Total Amount after sale]] &gt; 0,"PROFIT","LOSS")</f>
        <v>LOSS</v>
      </c>
      <c r="S136" s="3">
        <f>(Table1[[#This Row],[Total Amount after sale]]/Table1[[#This Row],[Price after discount]])</f>
        <v>-3.0483688650905828E-2</v>
      </c>
    </row>
    <row r="137" spans="1:19" x14ac:dyDescent="0.3">
      <c r="A137">
        <v>1028</v>
      </c>
      <c r="B137" s="1">
        <v>44968</v>
      </c>
      <c r="C137" s="1">
        <f>DATE(YEAR(Table1[[#This Row],[Sale_Date]]), MONTH(Table1[[#This Row],[Sale_Date]]), 1)</f>
        <v>44958</v>
      </c>
      <c r="D137" t="s">
        <v>42</v>
      </c>
      <c r="E137" t="s">
        <v>34</v>
      </c>
      <c r="F137" s="2">
        <v>2819.57</v>
      </c>
      <c r="G137">
        <v>24</v>
      </c>
      <c r="H137" t="s">
        <v>29</v>
      </c>
      <c r="I137" s="2">
        <v>2521.0300000000002</v>
      </c>
      <c r="J137" s="2">
        <v>2766.05</v>
      </c>
      <c r="K137" t="s">
        <v>17</v>
      </c>
      <c r="L137" s="5">
        <v>0.16</v>
      </c>
      <c r="M137" t="s">
        <v>27</v>
      </c>
      <c r="N137" t="s">
        <v>22</v>
      </c>
      <c r="O137" t="s">
        <v>52</v>
      </c>
      <c r="P137" s="4">
        <f t="shared" si="4"/>
        <v>55763.567999999999</v>
      </c>
      <c r="Q137" s="4">
        <f t="shared" si="5"/>
        <v>-4741.1520000000055</v>
      </c>
      <c r="R137" t="str">
        <f>IF( Table1[[#This Row],[Total Amount after sale]] &gt; 0,"PROFIT","LOSS")</f>
        <v>LOSS</v>
      </c>
      <c r="S137" s="3">
        <f>(Table1[[#This Row],[Total Amount after sale]]/Table1[[#This Row],[Price after discount]])</f>
        <v>-8.5022393115160882E-2</v>
      </c>
    </row>
    <row r="138" spans="1:19" x14ac:dyDescent="0.3">
      <c r="A138">
        <v>1014</v>
      </c>
      <c r="B138" s="1">
        <v>44968</v>
      </c>
      <c r="C138" s="1">
        <f>DATE(YEAR(Table1[[#This Row],[Sale_Date]]), MONTH(Table1[[#This Row],[Sale_Date]]), 1)</f>
        <v>44958</v>
      </c>
      <c r="D138" t="s">
        <v>24</v>
      </c>
      <c r="E138" t="s">
        <v>21</v>
      </c>
      <c r="F138" s="2">
        <v>823.51</v>
      </c>
      <c r="G138">
        <v>44</v>
      </c>
      <c r="H138" t="s">
        <v>26</v>
      </c>
      <c r="I138" s="2">
        <v>2257.48</v>
      </c>
      <c r="J138" s="2">
        <v>2747.81</v>
      </c>
      <c r="K138" t="s">
        <v>17</v>
      </c>
      <c r="L138" s="5">
        <v>0.27</v>
      </c>
      <c r="M138" t="s">
        <v>18</v>
      </c>
      <c r="N138" t="s">
        <v>19</v>
      </c>
      <c r="O138" t="s">
        <v>47</v>
      </c>
      <c r="P138" s="4">
        <f t="shared" si="4"/>
        <v>88259.657200000001</v>
      </c>
      <c r="Q138" s="4">
        <f t="shared" si="5"/>
        <v>-11069.462800000001</v>
      </c>
      <c r="R138" t="str">
        <f>IF( Table1[[#This Row],[Total Amount after sale]] &gt; 0,"PROFIT","LOSS")</f>
        <v>LOSS</v>
      </c>
      <c r="S138" s="3">
        <f>(Table1[[#This Row],[Total Amount after sale]]/Table1[[#This Row],[Price after discount]])</f>
        <v>-0.12541928159675655</v>
      </c>
    </row>
    <row r="139" spans="1:19" x14ac:dyDescent="0.3">
      <c r="A139">
        <v>1050</v>
      </c>
      <c r="B139" s="1">
        <v>44968</v>
      </c>
      <c r="C139" s="1">
        <f>DATE(YEAR(Table1[[#This Row],[Sale_Date]]), MONTH(Table1[[#This Row],[Sale_Date]]), 1)</f>
        <v>44958</v>
      </c>
      <c r="D139" t="s">
        <v>33</v>
      </c>
      <c r="E139" t="s">
        <v>21</v>
      </c>
      <c r="F139" s="2">
        <v>1011.46</v>
      </c>
      <c r="G139">
        <v>48</v>
      </c>
      <c r="H139" t="s">
        <v>16</v>
      </c>
      <c r="I139" s="2">
        <v>710.06</v>
      </c>
      <c r="J139" s="2">
        <v>851.349999999999</v>
      </c>
      <c r="K139" t="s">
        <v>17</v>
      </c>
      <c r="L139" s="5">
        <v>0.04</v>
      </c>
      <c r="M139" t="s">
        <v>27</v>
      </c>
      <c r="N139" t="s">
        <v>19</v>
      </c>
      <c r="O139" t="s">
        <v>37</v>
      </c>
      <c r="P139" s="4">
        <f t="shared" si="4"/>
        <v>39230.207999999955</v>
      </c>
      <c r="Q139" s="4">
        <f t="shared" si="5"/>
        <v>5147.3279999999559</v>
      </c>
      <c r="R139" t="str">
        <f>IF( Table1[[#This Row],[Total Amount after sale]] &gt; 0,"PROFIT","LOSS")</f>
        <v>PROFIT</v>
      </c>
      <c r="S139" s="3">
        <f>(Table1[[#This Row],[Total Amount after sale]]/Table1[[#This Row],[Price after discount]])</f>
        <v>0.13120827705017424</v>
      </c>
    </row>
    <row r="140" spans="1:19" x14ac:dyDescent="0.3">
      <c r="A140">
        <v>1034</v>
      </c>
      <c r="B140" s="1">
        <v>44968</v>
      </c>
      <c r="C140" s="1">
        <f>DATE(YEAR(Table1[[#This Row],[Sale_Date]]), MONTH(Table1[[#This Row],[Sale_Date]]), 1)</f>
        <v>44958</v>
      </c>
      <c r="D140" t="s">
        <v>38</v>
      </c>
      <c r="E140" t="s">
        <v>25</v>
      </c>
      <c r="F140" s="2">
        <v>2082.79</v>
      </c>
      <c r="G140">
        <v>26</v>
      </c>
      <c r="H140" t="s">
        <v>35</v>
      </c>
      <c r="I140" s="2">
        <v>667</v>
      </c>
      <c r="J140" s="2">
        <v>718.72</v>
      </c>
      <c r="K140" t="s">
        <v>30</v>
      </c>
      <c r="L140" s="5">
        <v>0.2</v>
      </c>
      <c r="M140" t="s">
        <v>18</v>
      </c>
      <c r="N140" t="s">
        <v>22</v>
      </c>
      <c r="O140" t="s">
        <v>39</v>
      </c>
      <c r="P140" s="4">
        <f t="shared" si="4"/>
        <v>14949.376</v>
      </c>
      <c r="Q140" s="4">
        <f t="shared" si="5"/>
        <v>-2392.6239999999998</v>
      </c>
      <c r="R140" t="str">
        <f>IF( Table1[[#This Row],[Total Amount after sale]] &gt; 0,"PROFIT","LOSS")</f>
        <v>LOSS</v>
      </c>
      <c r="S140" s="3">
        <f>(Table1[[#This Row],[Total Amount after sale]]/Table1[[#This Row],[Price after discount]])</f>
        <v>-0.16004841941228851</v>
      </c>
    </row>
    <row r="141" spans="1:19" x14ac:dyDescent="0.3">
      <c r="A141">
        <v>1076</v>
      </c>
      <c r="B141" s="1">
        <v>44970</v>
      </c>
      <c r="C141" s="1">
        <f>DATE(YEAR(Table1[[#This Row],[Sale_Date]]), MONTH(Table1[[#This Row],[Sale_Date]]), 1)</f>
        <v>44958</v>
      </c>
      <c r="D141" t="s">
        <v>38</v>
      </c>
      <c r="E141" t="s">
        <v>15</v>
      </c>
      <c r="F141" s="2">
        <v>6697.98</v>
      </c>
      <c r="G141">
        <v>17</v>
      </c>
      <c r="H141" t="s">
        <v>29</v>
      </c>
      <c r="I141" s="2">
        <v>604.08000000000004</v>
      </c>
      <c r="J141" s="2">
        <v>624.71</v>
      </c>
      <c r="K141" t="s">
        <v>30</v>
      </c>
      <c r="L141" s="5">
        <v>0.14000000000000001</v>
      </c>
      <c r="M141" t="s">
        <v>27</v>
      </c>
      <c r="N141" t="s">
        <v>22</v>
      </c>
      <c r="O141" t="s">
        <v>40</v>
      </c>
      <c r="P141" s="4">
        <f t="shared" si="4"/>
        <v>9133.2602000000006</v>
      </c>
      <c r="Q141" s="4">
        <f t="shared" si="5"/>
        <v>-1136.0997999999995</v>
      </c>
      <c r="R141" t="str">
        <f>IF( Table1[[#This Row],[Total Amount after sale]] &gt; 0,"PROFIT","LOSS")</f>
        <v>LOSS</v>
      </c>
      <c r="S141" s="3">
        <f>(Table1[[#This Row],[Total Amount after sale]]/Table1[[#This Row],[Price after discount]])</f>
        <v>-0.1243914850909426</v>
      </c>
    </row>
    <row r="142" spans="1:19" x14ac:dyDescent="0.3">
      <c r="A142">
        <v>1044</v>
      </c>
      <c r="B142" s="1">
        <v>44971</v>
      </c>
      <c r="C142" s="1">
        <f>DATE(YEAR(Table1[[#This Row],[Sale_Date]]), MONTH(Table1[[#This Row],[Sale_Date]]), 1)</f>
        <v>44958</v>
      </c>
      <c r="D142" t="s">
        <v>24</v>
      </c>
      <c r="E142" t="s">
        <v>21</v>
      </c>
      <c r="F142" s="2">
        <v>9396.7800000000007</v>
      </c>
      <c r="G142">
        <v>12</v>
      </c>
      <c r="H142" t="s">
        <v>35</v>
      </c>
      <c r="I142" s="2">
        <v>2221.31</v>
      </c>
      <c r="J142" s="2">
        <v>2494.48</v>
      </c>
      <c r="K142" t="s">
        <v>17</v>
      </c>
      <c r="L142" s="5">
        <v>0.22</v>
      </c>
      <c r="M142" t="s">
        <v>27</v>
      </c>
      <c r="N142" t="s">
        <v>19</v>
      </c>
      <c r="O142" t="s">
        <v>47</v>
      </c>
      <c r="P142" s="4">
        <f t="shared" si="4"/>
        <v>23348.3328</v>
      </c>
      <c r="Q142" s="4">
        <f t="shared" si="5"/>
        <v>-3307.3871999999983</v>
      </c>
      <c r="R142" t="str">
        <f>IF( Table1[[#This Row],[Total Amount after sale]] &gt; 0,"PROFIT","LOSS")</f>
        <v>LOSS</v>
      </c>
      <c r="S142" s="3">
        <f>(Table1[[#This Row],[Total Amount after sale]]/Table1[[#This Row],[Price after discount]])</f>
        <v>-0.14165410559849473</v>
      </c>
    </row>
    <row r="143" spans="1:19" x14ac:dyDescent="0.3">
      <c r="A143">
        <v>1099</v>
      </c>
      <c r="B143" s="1">
        <v>44971</v>
      </c>
      <c r="C143" s="1">
        <f>DATE(YEAR(Table1[[#This Row],[Sale_Date]]), MONTH(Table1[[#This Row],[Sale_Date]]), 1)</f>
        <v>44958</v>
      </c>
      <c r="D143" t="s">
        <v>24</v>
      </c>
      <c r="E143" t="s">
        <v>25</v>
      </c>
      <c r="F143" s="2">
        <v>7802.45</v>
      </c>
      <c r="G143">
        <v>32</v>
      </c>
      <c r="H143" t="s">
        <v>29</v>
      </c>
      <c r="I143" s="2">
        <v>1517.86</v>
      </c>
      <c r="J143" s="2">
        <v>1948.46</v>
      </c>
      <c r="K143" t="s">
        <v>30</v>
      </c>
      <c r="L143" s="5">
        <v>0.02</v>
      </c>
      <c r="M143" t="s">
        <v>31</v>
      </c>
      <c r="N143" t="s">
        <v>19</v>
      </c>
      <c r="O143" t="s">
        <v>28</v>
      </c>
      <c r="P143" s="4">
        <f t="shared" si="4"/>
        <v>61103.705600000001</v>
      </c>
      <c r="Q143" s="4">
        <f t="shared" si="5"/>
        <v>12532.185600000004</v>
      </c>
      <c r="R143" t="str">
        <f>IF( Table1[[#This Row],[Total Amount after sale]] &gt; 0,"PROFIT","LOSS")</f>
        <v>PROFIT</v>
      </c>
      <c r="S143" s="3">
        <f>(Table1[[#This Row],[Total Amount after sale]]/Table1[[#This Row],[Price after discount]])</f>
        <v>0.20509698187600597</v>
      </c>
    </row>
    <row r="144" spans="1:19" x14ac:dyDescent="0.3">
      <c r="A144">
        <v>1025</v>
      </c>
      <c r="B144" s="1">
        <v>44972</v>
      </c>
      <c r="C144" s="1">
        <f>DATE(YEAR(Table1[[#This Row],[Sale_Date]]), MONTH(Table1[[#This Row],[Sale_Date]]), 1)</f>
        <v>44958</v>
      </c>
      <c r="D144" t="s">
        <v>24</v>
      </c>
      <c r="E144" t="s">
        <v>25</v>
      </c>
      <c r="F144" s="2">
        <v>4140.7</v>
      </c>
      <c r="G144">
        <v>45</v>
      </c>
      <c r="H144" t="s">
        <v>29</v>
      </c>
      <c r="I144" s="2">
        <v>1588.04</v>
      </c>
      <c r="J144" s="2">
        <v>1703.6399999999901</v>
      </c>
      <c r="K144" t="s">
        <v>30</v>
      </c>
      <c r="L144" s="5">
        <v>0.2</v>
      </c>
      <c r="M144" t="s">
        <v>27</v>
      </c>
      <c r="N144" t="s">
        <v>22</v>
      </c>
      <c r="O144" t="s">
        <v>28</v>
      </c>
      <c r="P144" s="4">
        <f t="shared" si="4"/>
        <v>61331.039999999644</v>
      </c>
      <c r="Q144" s="4">
        <f t="shared" si="5"/>
        <v>-10130.760000000355</v>
      </c>
      <c r="R144" t="str">
        <f>IF( Table1[[#This Row],[Total Amount after sale]] &gt; 0,"PROFIT","LOSS")</f>
        <v>LOSS</v>
      </c>
      <c r="S144" s="3">
        <f>(Table1[[#This Row],[Total Amount after sale]]/Table1[[#This Row],[Price after discount]])</f>
        <v>-0.16518161113851018</v>
      </c>
    </row>
    <row r="145" spans="1:19" x14ac:dyDescent="0.3">
      <c r="A145">
        <v>1074</v>
      </c>
      <c r="B145" s="1">
        <v>44972</v>
      </c>
      <c r="C145" s="1">
        <f>DATE(YEAR(Table1[[#This Row],[Sale_Date]]), MONTH(Table1[[#This Row],[Sale_Date]]), 1)</f>
        <v>44958</v>
      </c>
      <c r="D145" t="s">
        <v>42</v>
      </c>
      <c r="E145" t="s">
        <v>25</v>
      </c>
      <c r="F145" s="2">
        <v>3320.38</v>
      </c>
      <c r="G145">
        <v>31</v>
      </c>
      <c r="H145" t="s">
        <v>16</v>
      </c>
      <c r="I145" s="2">
        <v>1138.32</v>
      </c>
      <c r="J145" s="2">
        <v>1266.25</v>
      </c>
      <c r="K145" t="s">
        <v>17</v>
      </c>
      <c r="L145" s="5">
        <v>0.14000000000000001</v>
      </c>
      <c r="M145" t="s">
        <v>18</v>
      </c>
      <c r="N145" t="s">
        <v>22</v>
      </c>
      <c r="O145" t="s">
        <v>43</v>
      </c>
      <c r="P145" s="4">
        <f t="shared" si="4"/>
        <v>33758.224999999999</v>
      </c>
      <c r="Q145" s="4">
        <f t="shared" si="5"/>
        <v>-1529.6950000000008</v>
      </c>
      <c r="R145" t="str">
        <f>IF( Table1[[#This Row],[Total Amount after sale]] &gt; 0,"PROFIT","LOSS")</f>
        <v>LOSS</v>
      </c>
      <c r="S145" s="3">
        <f>(Table1[[#This Row],[Total Amount after sale]]/Table1[[#This Row],[Price after discount]])</f>
        <v>-4.5313253288643017E-2</v>
      </c>
    </row>
    <row r="146" spans="1:19" x14ac:dyDescent="0.3">
      <c r="A146">
        <v>1094</v>
      </c>
      <c r="B146" s="1">
        <v>44972</v>
      </c>
      <c r="C146" s="1">
        <f>DATE(YEAR(Table1[[#This Row],[Sale_Date]]), MONTH(Table1[[#This Row],[Sale_Date]]), 1)</f>
        <v>44958</v>
      </c>
      <c r="D146" t="s">
        <v>33</v>
      </c>
      <c r="E146" t="s">
        <v>25</v>
      </c>
      <c r="F146" s="2">
        <v>8643.67</v>
      </c>
      <c r="G146">
        <v>47</v>
      </c>
      <c r="H146" t="s">
        <v>26</v>
      </c>
      <c r="I146" s="2">
        <v>3450.36</v>
      </c>
      <c r="J146" s="2">
        <v>3557.38</v>
      </c>
      <c r="K146" t="s">
        <v>30</v>
      </c>
      <c r="L146" s="5">
        <v>0.2</v>
      </c>
      <c r="M146" t="s">
        <v>31</v>
      </c>
      <c r="N146" t="s">
        <v>19</v>
      </c>
      <c r="O146" t="s">
        <v>44</v>
      </c>
      <c r="P146" s="4">
        <f t="shared" si="4"/>
        <v>133757.48800000001</v>
      </c>
      <c r="Q146" s="4">
        <f t="shared" si="5"/>
        <v>-28409.431999999986</v>
      </c>
      <c r="R146" t="str">
        <f>IF( Table1[[#This Row],[Total Amount after sale]] &gt; 0,"PROFIT","LOSS")</f>
        <v>LOSS</v>
      </c>
      <c r="S146" s="3">
        <f>(Table1[[#This Row],[Total Amount after sale]]/Table1[[#This Row],[Price after discount]])</f>
        <v>-0.21239507727597265</v>
      </c>
    </row>
    <row r="147" spans="1:19" x14ac:dyDescent="0.3">
      <c r="A147">
        <v>1074</v>
      </c>
      <c r="B147" s="1">
        <v>44972</v>
      </c>
      <c r="C147" s="1">
        <f>DATE(YEAR(Table1[[#This Row],[Sale_Date]]), MONTH(Table1[[#This Row],[Sale_Date]]), 1)</f>
        <v>44958</v>
      </c>
      <c r="D147" t="s">
        <v>14</v>
      </c>
      <c r="E147" t="s">
        <v>21</v>
      </c>
      <c r="F147" s="2">
        <v>1383.82</v>
      </c>
      <c r="G147">
        <v>1</v>
      </c>
      <c r="H147" t="s">
        <v>16</v>
      </c>
      <c r="I147" s="2">
        <v>1304.23</v>
      </c>
      <c r="J147" s="2">
        <v>1705.71</v>
      </c>
      <c r="K147" t="s">
        <v>17</v>
      </c>
      <c r="L147" s="5">
        <v>0.01</v>
      </c>
      <c r="M147" t="s">
        <v>18</v>
      </c>
      <c r="N147" t="s">
        <v>22</v>
      </c>
      <c r="O147" t="s">
        <v>23</v>
      </c>
      <c r="P147" s="4">
        <f t="shared" si="4"/>
        <v>1688.6529</v>
      </c>
      <c r="Q147" s="4">
        <f t="shared" si="5"/>
        <v>384.42290000000003</v>
      </c>
      <c r="R147" t="str">
        <f>IF( Table1[[#This Row],[Total Amount after sale]] &gt; 0,"PROFIT","LOSS")</f>
        <v>PROFIT</v>
      </c>
      <c r="S147" s="3">
        <f>(Table1[[#This Row],[Total Amount after sale]]/Table1[[#This Row],[Price after discount]])</f>
        <v>0.22765063205114563</v>
      </c>
    </row>
    <row r="148" spans="1:19" x14ac:dyDescent="0.3">
      <c r="A148">
        <v>1044</v>
      </c>
      <c r="B148" s="1">
        <v>44973</v>
      </c>
      <c r="C148" s="1">
        <f>DATE(YEAR(Table1[[#This Row],[Sale_Date]]), MONTH(Table1[[#This Row],[Sale_Date]]), 1)</f>
        <v>44958</v>
      </c>
      <c r="D148" t="s">
        <v>24</v>
      </c>
      <c r="E148" t="s">
        <v>25</v>
      </c>
      <c r="F148" s="2">
        <v>7754.1</v>
      </c>
      <c r="G148">
        <v>22</v>
      </c>
      <c r="H148" t="s">
        <v>26</v>
      </c>
      <c r="I148" s="2">
        <v>3373.46</v>
      </c>
      <c r="J148" s="2">
        <v>3454.76</v>
      </c>
      <c r="K148" t="s">
        <v>17</v>
      </c>
      <c r="L148" s="5">
        <v>0.22</v>
      </c>
      <c r="M148" t="s">
        <v>27</v>
      </c>
      <c r="N148" t="s">
        <v>22</v>
      </c>
      <c r="O148" t="s">
        <v>28</v>
      </c>
      <c r="P148" s="4">
        <f t="shared" si="4"/>
        <v>59283.681600000004</v>
      </c>
      <c r="Q148" s="4">
        <f t="shared" si="5"/>
        <v>-14932.438399999995</v>
      </c>
      <c r="R148" t="str">
        <f>IF( Table1[[#This Row],[Total Amount after sale]] &gt; 0,"PROFIT","LOSS")</f>
        <v>LOSS</v>
      </c>
      <c r="S148" s="3">
        <f>(Table1[[#This Row],[Total Amount after sale]]/Table1[[#This Row],[Price after discount]])</f>
        <v>-0.25188109100160871</v>
      </c>
    </row>
    <row r="149" spans="1:19" x14ac:dyDescent="0.3">
      <c r="A149">
        <v>1028</v>
      </c>
      <c r="B149" s="1">
        <v>44973</v>
      </c>
      <c r="C149" s="1">
        <f>DATE(YEAR(Table1[[#This Row],[Sale_Date]]), MONTH(Table1[[#This Row],[Sale_Date]]), 1)</f>
        <v>44958</v>
      </c>
      <c r="D149" t="s">
        <v>14</v>
      </c>
      <c r="E149" t="s">
        <v>34</v>
      </c>
      <c r="F149" s="2">
        <v>4344.1499999999996</v>
      </c>
      <c r="G149">
        <v>24</v>
      </c>
      <c r="H149" t="s">
        <v>35</v>
      </c>
      <c r="I149" s="2">
        <v>1969.09</v>
      </c>
      <c r="J149" s="2">
        <v>2241.96</v>
      </c>
      <c r="K149" t="s">
        <v>17</v>
      </c>
      <c r="L149" s="5">
        <v>0.02</v>
      </c>
      <c r="M149" t="s">
        <v>31</v>
      </c>
      <c r="N149" t="s">
        <v>19</v>
      </c>
      <c r="O149" t="s">
        <v>46</v>
      </c>
      <c r="P149" s="4">
        <f t="shared" si="4"/>
        <v>52730.8992</v>
      </c>
      <c r="Q149" s="4">
        <f t="shared" si="5"/>
        <v>5472.7392000000054</v>
      </c>
      <c r="R149" t="str">
        <f>IF( Table1[[#This Row],[Total Amount after sale]] &gt; 0,"PROFIT","LOSS")</f>
        <v>PROFIT</v>
      </c>
      <c r="S149" s="3">
        <f>(Table1[[#This Row],[Total Amount after sale]]/Table1[[#This Row],[Price after discount]])</f>
        <v>0.10378619145565425</v>
      </c>
    </row>
    <row r="150" spans="1:19" x14ac:dyDescent="0.3">
      <c r="A150">
        <v>1010</v>
      </c>
      <c r="B150" s="1">
        <v>44973</v>
      </c>
      <c r="C150" s="1">
        <f>DATE(YEAR(Table1[[#This Row],[Sale_Date]]), MONTH(Table1[[#This Row],[Sale_Date]]), 1)</f>
        <v>44958</v>
      </c>
      <c r="D150" t="s">
        <v>24</v>
      </c>
      <c r="E150" t="s">
        <v>34</v>
      </c>
      <c r="F150" s="2">
        <v>1678.97</v>
      </c>
      <c r="G150">
        <v>47</v>
      </c>
      <c r="H150" t="s">
        <v>16</v>
      </c>
      <c r="I150" s="2">
        <v>2265.38</v>
      </c>
      <c r="J150" s="2">
        <v>2429.9299999999998</v>
      </c>
      <c r="K150" t="s">
        <v>17</v>
      </c>
      <c r="L150" s="5">
        <v>0.06</v>
      </c>
      <c r="M150" t="s">
        <v>27</v>
      </c>
      <c r="N150" t="s">
        <v>19</v>
      </c>
      <c r="O150" t="s">
        <v>50</v>
      </c>
      <c r="P150" s="4">
        <f t="shared" si="4"/>
        <v>107354.30739999998</v>
      </c>
      <c r="Q150" s="4">
        <f t="shared" si="5"/>
        <v>881.44739999997182</v>
      </c>
      <c r="R150" t="str">
        <f>IF( Table1[[#This Row],[Total Amount after sale]] &gt; 0,"PROFIT","LOSS")</f>
        <v>PROFIT</v>
      </c>
      <c r="S150" s="3">
        <f>(Table1[[#This Row],[Total Amount after sale]]/Table1[[#This Row],[Price after discount]])</f>
        <v>8.2106384117007682E-3</v>
      </c>
    </row>
    <row r="151" spans="1:19" x14ac:dyDescent="0.3">
      <c r="A151">
        <v>1053</v>
      </c>
      <c r="B151" s="1">
        <v>44973</v>
      </c>
      <c r="C151" s="1">
        <f>DATE(YEAR(Table1[[#This Row],[Sale_Date]]), MONTH(Table1[[#This Row],[Sale_Date]]), 1)</f>
        <v>44958</v>
      </c>
      <c r="D151" t="s">
        <v>38</v>
      </c>
      <c r="E151" t="s">
        <v>21</v>
      </c>
      <c r="F151" s="2">
        <v>3939.48</v>
      </c>
      <c r="G151">
        <v>11</v>
      </c>
      <c r="H151" t="s">
        <v>16</v>
      </c>
      <c r="I151" s="2">
        <v>1582.86</v>
      </c>
      <c r="J151" s="2">
        <v>1942.55</v>
      </c>
      <c r="K151" t="s">
        <v>30</v>
      </c>
      <c r="L151" s="5">
        <v>0.17</v>
      </c>
      <c r="M151" t="s">
        <v>31</v>
      </c>
      <c r="N151" t="s">
        <v>22</v>
      </c>
      <c r="O151" t="s">
        <v>41</v>
      </c>
      <c r="P151" s="4">
        <f t="shared" si="4"/>
        <v>17735.481499999998</v>
      </c>
      <c r="Q151" s="4">
        <f t="shared" si="5"/>
        <v>324.02150000000006</v>
      </c>
      <c r="R151" t="str">
        <f>IF( Table1[[#This Row],[Total Amount after sale]] &gt; 0,"PROFIT","LOSS")</f>
        <v>PROFIT</v>
      </c>
      <c r="S151" s="3">
        <f>(Table1[[#This Row],[Total Amount after sale]]/Table1[[#This Row],[Price after discount]])</f>
        <v>1.8269675960023983E-2</v>
      </c>
    </row>
    <row r="152" spans="1:19" x14ac:dyDescent="0.3">
      <c r="A152">
        <v>1001</v>
      </c>
      <c r="B152" s="1">
        <v>44975</v>
      </c>
      <c r="C152" s="1">
        <f>DATE(YEAR(Table1[[#This Row],[Sale_Date]]), MONTH(Table1[[#This Row],[Sale_Date]]), 1)</f>
        <v>44958</v>
      </c>
      <c r="D152" t="s">
        <v>24</v>
      </c>
      <c r="E152" t="s">
        <v>21</v>
      </c>
      <c r="F152" s="2">
        <v>7154.95</v>
      </c>
      <c r="G152">
        <v>27</v>
      </c>
      <c r="H152" t="s">
        <v>29</v>
      </c>
      <c r="I152" s="2">
        <v>939.02</v>
      </c>
      <c r="J152" s="2">
        <v>1286.92</v>
      </c>
      <c r="K152" t="s">
        <v>17</v>
      </c>
      <c r="L152" s="5">
        <v>7.0000000000000007E-2</v>
      </c>
      <c r="M152" t="s">
        <v>31</v>
      </c>
      <c r="N152" t="s">
        <v>22</v>
      </c>
      <c r="O152" t="s">
        <v>47</v>
      </c>
      <c r="P152" s="4">
        <f t="shared" si="4"/>
        <v>32314.561199999996</v>
      </c>
      <c r="Q152" s="4">
        <f t="shared" si="5"/>
        <v>6961.0211999999974</v>
      </c>
      <c r="R152" t="str">
        <f>IF( Table1[[#This Row],[Total Amount after sale]] &gt; 0,"PROFIT","LOSS")</f>
        <v>PROFIT</v>
      </c>
      <c r="S152" s="3">
        <f>(Table1[[#This Row],[Total Amount after sale]]/Table1[[#This Row],[Price after discount]])</f>
        <v>0.21541438105617841</v>
      </c>
    </row>
    <row r="153" spans="1:19" x14ac:dyDescent="0.3">
      <c r="A153">
        <v>1007</v>
      </c>
      <c r="B153" s="1">
        <v>44975</v>
      </c>
      <c r="C153" s="1">
        <f>DATE(YEAR(Table1[[#This Row],[Sale_Date]]), MONTH(Table1[[#This Row],[Sale_Date]]), 1)</f>
        <v>44958</v>
      </c>
      <c r="D153" t="s">
        <v>42</v>
      </c>
      <c r="E153" t="s">
        <v>25</v>
      </c>
      <c r="F153" s="2">
        <v>876.71</v>
      </c>
      <c r="G153">
        <v>34</v>
      </c>
      <c r="H153" t="s">
        <v>29</v>
      </c>
      <c r="I153" s="2">
        <v>1921.07</v>
      </c>
      <c r="J153" s="2">
        <v>2289.27</v>
      </c>
      <c r="K153" t="s">
        <v>17</v>
      </c>
      <c r="L153" s="5">
        <v>7.0000000000000007E-2</v>
      </c>
      <c r="M153" t="s">
        <v>27</v>
      </c>
      <c r="N153" t="s">
        <v>22</v>
      </c>
      <c r="O153" t="s">
        <v>43</v>
      </c>
      <c r="P153" s="4">
        <f t="shared" si="4"/>
        <v>72386.717399999994</v>
      </c>
      <c r="Q153" s="4">
        <f t="shared" si="5"/>
        <v>7070.3374000000003</v>
      </c>
      <c r="R153" t="str">
        <f>IF( Table1[[#This Row],[Total Amount after sale]] &gt; 0,"PROFIT","LOSS")</f>
        <v>PROFIT</v>
      </c>
      <c r="S153" s="3">
        <f>(Table1[[#This Row],[Total Amount after sale]]/Table1[[#This Row],[Price after discount]])</f>
        <v>9.7674513418396849E-2</v>
      </c>
    </row>
    <row r="154" spans="1:19" x14ac:dyDescent="0.3">
      <c r="A154">
        <v>1003</v>
      </c>
      <c r="B154" s="1">
        <v>44976</v>
      </c>
      <c r="C154" s="1">
        <f>DATE(YEAR(Table1[[#This Row],[Sale_Date]]), MONTH(Table1[[#This Row],[Sale_Date]]), 1)</f>
        <v>44958</v>
      </c>
      <c r="D154" t="s">
        <v>42</v>
      </c>
      <c r="E154" t="s">
        <v>34</v>
      </c>
      <c r="F154" s="2">
        <v>937.2</v>
      </c>
      <c r="G154">
        <v>45</v>
      </c>
      <c r="H154" t="s">
        <v>35</v>
      </c>
      <c r="I154" s="2">
        <v>4974.1400000000003</v>
      </c>
      <c r="J154" s="2">
        <v>5227.93</v>
      </c>
      <c r="K154" t="s">
        <v>30</v>
      </c>
      <c r="L154" s="5">
        <v>0.21</v>
      </c>
      <c r="M154" t="s">
        <v>27</v>
      </c>
      <c r="N154" t="s">
        <v>19</v>
      </c>
      <c r="O154" t="s">
        <v>52</v>
      </c>
      <c r="P154" s="4">
        <f t="shared" si="4"/>
        <v>185852.91150000005</v>
      </c>
      <c r="Q154" s="4">
        <f t="shared" si="5"/>
        <v>-37983.388499999979</v>
      </c>
      <c r="R154" t="str">
        <f>IF( Table1[[#This Row],[Total Amount after sale]] &gt; 0,"PROFIT","LOSS")</f>
        <v>LOSS</v>
      </c>
      <c r="S154" s="3">
        <f>(Table1[[#This Row],[Total Amount after sale]]/Table1[[#This Row],[Price after discount]])</f>
        <v>-0.20437338427167964</v>
      </c>
    </row>
    <row r="155" spans="1:19" x14ac:dyDescent="0.3">
      <c r="A155">
        <v>1084</v>
      </c>
      <c r="B155" s="1">
        <v>44976</v>
      </c>
      <c r="C155" s="1">
        <f>DATE(YEAR(Table1[[#This Row],[Sale_Date]]), MONTH(Table1[[#This Row],[Sale_Date]]), 1)</f>
        <v>44958</v>
      </c>
      <c r="D155" t="s">
        <v>24</v>
      </c>
      <c r="E155" t="s">
        <v>21</v>
      </c>
      <c r="F155" s="2">
        <v>2154.66</v>
      </c>
      <c r="G155">
        <v>35</v>
      </c>
      <c r="H155" t="s">
        <v>26</v>
      </c>
      <c r="I155" s="2">
        <v>465.61</v>
      </c>
      <c r="J155" s="2">
        <v>812.91</v>
      </c>
      <c r="K155" t="s">
        <v>30</v>
      </c>
      <c r="L155" s="5">
        <v>0.16</v>
      </c>
      <c r="M155" t="s">
        <v>27</v>
      </c>
      <c r="N155" t="s">
        <v>19</v>
      </c>
      <c r="O155" t="s">
        <v>47</v>
      </c>
      <c r="P155" s="4">
        <f t="shared" si="4"/>
        <v>23899.553999999996</v>
      </c>
      <c r="Q155" s="4">
        <f t="shared" si="5"/>
        <v>7603.2039999999979</v>
      </c>
      <c r="R155" t="str">
        <f>IF( Table1[[#This Row],[Total Amount after sale]] &gt; 0,"PROFIT","LOSS")</f>
        <v>PROFIT</v>
      </c>
      <c r="S155" s="3">
        <f>(Table1[[#This Row],[Total Amount after sale]]/Table1[[#This Row],[Price after discount]])</f>
        <v>0.31813162705881454</v>
      </c>
    </row>
    <row r="156" spans="1:19" x14ac:dyDescent="0.3">
      <c r="A156">
        <v>1002</v>
      </c>
      <c r="B156" s="1">
        <v>44977</v>
      </c>
      <c r="C156" s="1">
        <f>DATE(YEAR(Table1[[#This Row],[Sale_Date]]), MONTH(Table1[[#This Row],[Sale_Date]]), 1)</f>
        <v>44958</v>
      </c>
      <c r="D156" t="s">
        <v>33</v>
      </c>
      <c r="E156" t="s">
        <v>21</v>
      </c>
      <c r="F156" s="2">
        <v>9469.92</v>
      </c>
      <c r="G156">
        <v>26</v>
      </c>
      <c r="H156" t="s">
        <v>26</v>
      </c>
      <c r="I156" s="2">
        <v>508.94</v>
      </c>
      <c r="J156" s="2">
        <v>557.69000000000005</v>
      </c>
      <c r="K156" t="s">
        <v>30</v>
      </c>
      <c r="L156" s="5">
        <v>0.22</v>
      </c>
      <c r="M156" t="s">
        <v>31</v>
      </c>
      <c r="N156" t="s">
        <v>22</v>
      </c>
      <c r="O156" t="s">
        <v>37</v>
      </c>
      <c r="P156" s="4">
        <f t="shared" si="4"/>
        <v>11309.953200000002</v>
      </c>
      <c r="Q156" s="4">
        <f t="shared" si="5"/>
        <v>-1922.4867999999985</v>
      </c>
      <c r="R156" t="str">
        <f>IF( Table1[[#This Row],[Total Amount after sale]] &gt; 0,"PROFIT","LOSS")</f>
        <v>LOSS</v>
      </c>
      <c r="S156" s="3">
        <f>(Table1[[#This Row],[Total Amount after sale]]/Table1[[#This Row],[Price after discount]])</f>
        <v>-0.16998185279847119</v>
      </c>
    </row>
    <row r="157" spans="1:19" x14ac:dyDescent="0.3">
      <c r="A157">
        <v>1017</v>
      </c>
      <c r="B157" s="1">
        <v>44977</v>
      </c>
      <c r="C157" s="1">
        <f>DATE(YEAR(Table1[[#This Row],[Sale_Date]]), MONTH(Table1[[#This Row],[Sale_Date]]), 1)</f>
        <v>44958</v>
      </c>
      <c r="D157" t="s">
        <v>33</v>
      </c>
      <c r="E157" t="s">
        <v>15</v>
      </c>
      <c r="F157" s="2">
        <v>8189.57</v>
      </c>
      <c r="G157">
        <v>16</v>
      </c>
      <c r="H157" t="s">
        <v>16</v>
      </c>
      <c r="I157" s="2">
        <v>102.23</v>
      </c>
      <c r="J157" s="2">
        <v>167.12</v>
      </c>
      <c r="K157" t="s">
        <v>30</v>
      </c>
      <c r="L157" s="5">
        <v>0.04</v>
      </c>
      <c r="M157" t="s">
        <v>31</v>
      </c>
      <c r="N157" t="s">
        <v>22</v>
      </c>
      <c r="O157" t="s">
        <v>53</v>
      </c>
      <c r="P157" s="4">
        <f t="shared" si="4"/>
        <v>2566.9632000000001</v>
      </c>
      <c r="Q157" s="4">
        <f t="shared" si="5"/>
        <v>931.28320000000008</v>
      </c>
      <c r="R157" t="str">
        <f>IF( Table1[[#This Row],[Total Amount after sale]] &gt; 0,"PROFIT","LOSS")</f>
        <v>PROFIT</v>
      </c>
      <c r="S157" s="3">
        <f>(Table1[[#This Row],[Total Amount after sale]]/Table1[[#This Row],[Price after discount]])</f>
        <v>0.36279569570767511</v>
      </c>
    </row>
    <row r="158" spans="1:19" x14ac:dyDescent="0.3">
      <c r="A158">
        <v>1049</v>
      </c>
      <c r="B158" s="1">
        <v>44978</v>
      </c>
      <c r="C158" s="1">
        <f>DATE(YEAR(Table1[[#This Row],[Sale_Date]]), MONTH(Table1[[#This Row],[Sale_Date]]), 1)</f>
        <v>44958</v>
      </c>
      <c r="D158" t="s">
        <v>42</v>
      </c>
      <c r="E158" t="s">
        <v>34</v>
      </c>
      <c r="F158" s="2">
        <v>783.55</v>
      </c>
      <c r="G158">
        <v>31</v>
      </c>
      <c r="H158" t="s">
        <v>35</v>
      </c>
      <c r="I158" s="2">
        <v>3570.24</v>
      </c>
      <c r="J158" s="2">
        <v>3712.25</v>
      </c>
      <c r="K158" t="s">
        <v>30</v>
      </c>
      <c r="L158" s="5">
        <v>0.03</v>
      </c>
      <c r="M158" t="s">
        <v>31</v>
      </c>
      <c r="N158" t="s">
        <v>19</v>
      </c>
      <c r="O158" t="s">
        <v>52</v>
      </c>
      <c r="P158" s="4">
        <f t="shared" si="4"/>
        <v>111627.35749999998</v>
      </c>
      <c r="Q158" s="4">
        <f t="shared" si="5"/>
        <v>949.91749999999774</v>
      </c>
      <c r="R158" t="str">
        <f>IF( Table1[[#This Row],[Total Amount after sale]] &gt; 0,"PROFIT","LOSS")</f>
        <v>PROFIT</v>
      </c>
      <c r="S158" s="3">
        <f>(Table1[[#This Row],[Total Amount after sale]]/Table1[[#This Row],[Price after discount]])</f>
        <v>8.5097194923744197E-3</v>
      </c>
    </row>
    <row r="159" spans="1:19" x14ac:dyDescent="0.3">
      <c r="A159">
        <v>1046</v>
      </c>
      <c r="B159" s="1">
        <v>44979</v>
      </c>
      <c r="C159" s="1">
        <f>DATE(YEAR(Table1[[#This Row],[Sale_Date]]), MONTH(Table1[[#This Row],[Sale_Date]]), 1)</f>
        <v>44958</v>
      </c>
      <c r="D159" t="s">
        <v>42</v>
      </c>
      <c r="E159" t="s">
        <v>25</v>
      </c>
      <c r="F159" s="2">
        <v>3391.32</v>
      </c>
      <c r="G159">
        <v>46</v>
      </c>
      <c r="H159" t="s">
        <v>29</v>
      </c>
      <c r="I159" s="2">
        <v>2551.56</v>
      </c>
      <c r="J159" s="2">
        <v>2841.68</v>
      </c>
      <c r="K159" t="s">
        <v>30</v>
      </c>
      <c r="L159" s="5">
        <v>0.09</v>
      </c>
      <c r="M159" t="s">
        <v>27</v>
      </c>
      <c r="N159" t="s">
        <v>22</v>
      </c>
      <c r="O159" t="s">
        <v>43</v>
      </c>
      <c r="P159" s="4">
        <f t="shared" si="4"/>
        <v>118952.72480000001</v>
      </c>
      <c r="Q159" s="4">
        <f t="shared" si="5"/>
        <v>1580.9648000000088</v>
      </c>
      <c r="R159" t="str">
        <f>IF( Table1[[#This Row],[Total Amount after sale]] &gt; 0,"PROFIT","LOSS")</f>
        <v>PROFIT</v>
      </c>
      <c r="S159" s="3">
        <f>(Table1[[#This Row],[Total Amount after sale]]/Table1[[#This Row],[Price after discount]])</f>
        <v>1.329069849100261E-2</v>
      </c>
    </row>
    <row r="160" spans="1:19" x14ac:dyDescent="0.3">
      <c r="A160">
        <v>1048</v>
      </c>
      <c r="B160" s="1">
        <v>44980</v>
      </c>
      <c r="C160" s="1">
        <f>DATE(YEAR(Table1[[#This Row],[Sale_Date]]), MONTH(Table1[[#This Row],[Sale_Date]]), 1)</f>
        <v>44958</v>
      </c>
      <c r="D160" t="s">
        <v>14</v>
      </c>
      <c r="E160" t="s">
        <v>21</v>
      </c>
      <c r="F160" s="2">
        <v>7066.63</v>
      </c>
      <c r="G160">
        <v>47</v>
      </c>
      <c r="H160" t="s">
        <v>26</v>
      </c>
      <c r="I160" s="2">
        <v>4535.8599999999997</v>
      </c>
      <c r="J160" s="2">
        <v>4641.41</v>
      </c>
      <c r="K160" t="s">
        <v>30</v>
      </c>
      <c r="L160" s="5">
        <v>0.27</v>
      </c>
      <c r="M160" t="s">
        <v>31</v>
      </c>
      <c r="N160" t="s">
        <v>22</v>
      </c>
      <c r="O160" t="s">
        <v>23</v>
      </c>
      <c r="P160" s="4">
        <f t="shared" si="4"/>
        <v>159246.77710000001</v>
      </c>
      <c r="Q160" s="4">
        <f t="shared" si="5"/>
        <v>-53938.642899999984</v>
      </c>
      <c r="R160" t="str">
        <f>IF( Table1[[#This Row],[Total Amount after sale]] &gt; 0,"PROFIT","LOSS")</f>
        <v>LOSS</v>
      </c>
      <c r="S160" s="3">
        <f>(Table1[[#This Row],[Total Amount after sale]]/Table1[[#This Row],[Price after discount]])</f>
        <v>-0.33871104886555337</v>
      </c>
    </row>
    <row r="161" spans="1:19" x14ac:dyDescent="0.3">
      <c r="A161">
        <v>1100</v>
      </c>
      <c r="B161" s="1">
        <v>44980</v>
      </c>
      <c r="C161" s="1">
        <f>DATE(YEAR(Table1[[#This Row],[Sale_Date]]), MONTH(Table1[[#This Row],[Sale_Date]]), 1)</f>
        <v>44958</v>
      </c>
      <c r="D161" t="s">
        <v>38</v>
      </c>
      <c r="E161" t="s">
        <v>15</v>
      </c>
      <c r="F161" s="2">
        <v>849.43</v>
      </c>
      <c r="G161">
        <v>43</v>
      </c>
      <c r="H161" t="s">
        <v>16</v>
      </c>
      <c r="I161" s="2">
        <v>2116.09</v>
      </c>
      <c r="J161" s="2">
        <v>2472.98</v>
      </c>
      <c r="K161" t="s">
        <v>30</v>
      </c>
      <c r="L161" s="5">
        <v>0.01</v>
      </c>
      <c r="M161" t="s">
        <v>31</v>
      </c>
      <c r="N161" t="s">
        <v>22</v>
      </c>
      <c r="O161" t="s">
        <v>40</v>
      </c>
      <c r="P161" s="4">
        <f t="shared" si="4"/>
        <v>105274.7586</v>
      </c>
      <c r="Q161" s="4">
        <f t="shared" si="5"/>
        <v>14282.888599999991</v>
      </c>
      <c r="R161" t="str">
        <f>IF( Table1[[#This Row],[Total Amount after sale]] &gt; 0,"PROFIT","LOSS")</f>
        <v>PROFIT</v>
      </c>
      <c r="S161" s="3">
        <f>(Table1[[#This Row],[Total Amount after sale]]/Table1[[#This Row],[Price after discount]])</f>
        <v>0.13567248968263121</v>
      </c>
    </row>
    <row r="162" spans="1:19" x14ac:dyDescent="0.3">
      <c r="A162">
        <v>1068</v>
      </c>
      <c r="B162" s="1">
        <v>44981</v>
      </c>
      <c r="C162" s="1">
        <f>DATE(YEAR(Table1[[#This Row],[Sale_Date]]), MONTH(Table1[[#This Row],[Sale_Date]]), 1)</f>
        <v>44958</v>
      </c>
      <c r="D162" t="s">
        <v>14</v>
      </c>
      <c r="E162" t="s">
        <v>15</v>
      </c>
      <c r="F162" s="2">
        <v>5118.51</v>
      </c>
      <c r="G162">
        <v>22</v>
      </c>
      <c r="H162" t="s">
        <v>29</v>
      </c>
      <c r="I162" s="2">
        <v>3619.61</v>
      </c>
      <c r="J162" s="2">
        <v>3651.42</v>
      </c>
      <c r="K162" t="s">
        <v>17</v>
      </c>
      <c r="L162" s="5">
        <v>0.26</v>
      </c>
      <c r="M162" t="s">
        <v>27</v>
      </c>
      <c r="N162" t="s">
        <v>19</v>
      </c>
      <c r="O162" t="s">
        <v>20</v>
      </c>
      <c r="P162" s="4">
        <f t="shared" si="4"/>
        <v>59445.117599999998</v>
      </c>
      <c r="Q162" s="4">
        <f t="shared" si="5"/>
        <v>-20186.302400000004</v>
      </c>
      <c r="R162" t="str">
        <f>IF( Table1[[#This Row],[Total Amount after sale]] &gt; 0,"PROFIT","LOSS")</f>
        <v>LOSS</v>
      </c>
      <c r="S162" s="3">
        <f>(Table1[[#This Row],[Total Amount after sale]]/Table1[[#This Row],[Price after discount]])</f>
        <v>-0.33957881176771371</v>
      </c>
    </row>
    <row r="163" spans="1:19" x14ac:dyDescent="0.3">
      <c r="A163">
        <v>1099</v>
      </c>
      <c r="B163" s="1">
        <v>44981</v>
      </c>
      <c r="C163" s="1">
        <f>DATE(YEAR(Table1[[#This Row],[Sale_Date]]), MONTH(Table1[[#This Row],[Sale_Date]]), 1)</f>
        <v>44958</v>
      </c>
      <c r="D163" t="s">
        <v>24</v>
      </c>
      <c r="E163" t="s">
        <v>34</v>
      </c>
      <c r="F163" s="2">
        <v>8090</v>
      </c>
      <c r="G163">
        <v>35</v>
      </c>
      <c r="H163" t="s">
        <v>29</v>
      </c>
      <c r="I163" s="2">
        <v>2610.19</v>
      </c>
      <c r="J163" s="2">
        <v>2682.53</v>
      </c>
      <c r="K163" t="s">
        <v>30</v>
      </c>
      <c r="L163" s="5">
        <v>0.14000000000000001</v>
      </c>
      <c r="M163" t="s">
        <v>18</v>
      </c>
      <c r="N163" t="s">
        <v>22</v>
      </c>
      <c r="O163" t="s">
        <v>50</v>
      </c>
      <c r="P163" s="4">
        <f t="shared" si="4"/>
        <v>80744.153000000006</v>
      </c>
      <c r="Q163" s="4">
        <f t="shared" si="5"/>
        <v>-10612.496999999996</v>
      </c>
      <c r="R163" t="str">
        <f>IF( Table1[[#This Row],[Total Amount after sale]] &gt; 0,"PROFIT","LOSS")</f>
        <v>LOSS</v>
      </c>
      <c r="S163" s="3">
        <f>(Table1[[#This Row],[Total Amount after sale]]/Table1[[#This Row],[Price after discount]])</f>
        <v>-0.13143362838916639</v>
      </c>
    </row>
    <row r="164" spans="1:19" x14ac:dyDescent="0.3">
      <c r="A164">
        <v>1054</v>
      </c>
      <c r="B164" s="1">
        <v>44981</v>
      </c>
      <c r="C164" s="1">
        <f>DATE(YEAR(Table1[[#This Row],[Sale_Date]]), MONTH(Table1[[#This Row],[Sale_Date]]), 1)</f>
        <v>44958</v>
      </c>
      <c r="D164" t="s">
        <v>42</v>
      </c>
      <c r="E164" t="s">
        <v>15</v>
      </c>
      <c r="F164" s="2">
        <v>5664.52</v>
      </c>
      <c r="G164">
        <v>43</v>
      </c>
      <c r="H164" t="s">
        <v>26</v>
      </c>
      <c r="I164" s="2">
        <v>2124.7199999999998</v>
      </c>
      <c r="J164" s="2">
        <v>2188.66</v>
      </c>
      <c r="K164" t="s">
        <v>17</v>
      </c>
      <c r="L164" s="5">
        <v>0.03</v>
      </c>
      <c r="M164" t="s">
        <v>31</v>
      </c>
      <c r="N164" t="s">
        <v>22</v>
      </c>
      <c r="O164" t="s">
        <v>49</v>
      </c>
      <c r="P164" s="4">
        <f t="shared" si="4"/>
        <v>91289.008600000001</v>
      </c>
      <c r="Q164" s="4">
        <f t="shared" si="5"/>
        <v>-73.951399999993555</v>
      </c>
      <c r="R164" t="str">
        <f>IF( Table1[[#This Row],[Total Amount after sale]] &gt; 0,"PROFIT","LOSS")</f>
        <v>LOSS</v>
      </c>
      <c r="S164" s="3">
        <f>(Table1[[#This Row],[Total Amount after sale]]/Table1[[#This Row],[Price after discount]])</f>
        <v>-8.1007999905032988E-4</v>
      </c>
    </row>
    <row r="165" spans="1:19" x14ac:dyDescent="0.3">
      <c r="A165">
        <v>1094</v>
      </c>
      <c r="B165" s="1">
        <v>44981</v>
      </c>
      <c r="C165" s="1">
        <f>DATE(YEAR(Table1[[#This Row],[Sale_Date]]), MONTH(Table1[[#This Row],[Sale_Date]]), 1)</f>
        <v>44958</v>
      </c>
      <c r="D165" t="s">
        <v>14</v>
      </c>
      <c r="E165" t="s">
        <v>21</v>
      </c>
      <c r="F165" s="2">
        <v>6171.59</v>
      </c>
      <c r="G165">
        <v>7</v>
      </c>
      <c r="H165" t="s">
        <v>16</v>
      </c>
      <c r="I165" s="2">
        <v>4122.38</v>
      </c>
      <c r="J165" s="2">
        <v>4358.78</v>
      </c>
      <c r="K165" t="s">
        <v>17</v>
      </c>
      <c r="L165" s="5">
        <v>0.26</v>
      </c>
      <c r="M165" t="s">
        <v>27</v>
      </c>
      <c r="N165" t="s">
        <v>22</v>
      </c>
      <c r="O165" t="s">
        <v>23</v>
      </c>
      <c r="P165" s="4">
        <f t="shared" si="4"/>
        <v>22578.4804</v>
      </c>
      <c r="Q165" s="4">
        <f t="shared" si="5"/>
        <v>-6278.1796000000022</v>
      </c>
      <c r="R165" t="str">
        <f>IF( Table1[[#This Row],[Total Amount after sale]] &gt; 0,"PROFIT","LOSS")</f>
        <v>LOSS</v>
      </c>
      <c r="S165" s="3">
        <f>(Table1[[#This Row],[Total Amount after sale]]/Table1[[#This Row],[Price after discount]])</f>
        <v>-0.27806032508724554</v>
      </c>
    </row>
    <row r="166" spans="1:19" x14ac:dyDescent="0.3">
      <c r="A166">
        <v>1008</v>
      </c>
      <c r="B166" s="1">
        <v>44981</v>
      </c>
      <c r="C166" s="1">
        <f>DATE(YEAR(Table1[[#This Row],[Sale_Date]]), MONTH(Table1[[#This Row],[Sale_Date]]), 1)</f>
        <v>44958</v>
      </c>
      <c r="D166" t="s">
        <v>38</v>
      </c>
      <c r="E166" t="s">
        <v>21</v>
      </c>
      <c r="F166" s="2">
        <v>5751.69</v>
      </c>
      <c r="G166">
        <v>22</v>
      </c>
      <c r="H166" t="s">
        <v>35</v>
      </c>
      <c r="I166" s="2">
        <v>2269.3200000000002</v>
      </c>
      <c r="J166" s="2">
        <v>2365.35</v>
      </c>
      <c r="K166" t="s">
        <v>30</v>
      </c>
      <c r="L166" s="5">
        <v>0.03</v>
      </c>
      <c r="M166" t="s">
        <v>18</v>
      </c>
      <c r="N166" t="s">
        <v>22</v>
      </c>
      <c r="O166" t="s">
        <v>41</v>
      </c>
      <c r="P166" s="4">
        <f t="shared" si="4"/>
        <v>50476.568999999996</v>
      </c>
      <c r="Q166" s="4">
        <f t="shared" si="5"/>
        <v>551.52899999999136</v>
      </c>
      <c r="R166" t="str">
        <f>IF( Table1[[#This Row],[Total Amount after sale]] &gt; 0,"PROFIT","LOSS")</f>
        <v>PROFIT</v>
      </c>
      <c r="S166" s="3">
        <f>(Table1[[#This Row],[Total Amount after sale]]/Table1[[#This Row],[Price after discount]])</f>
        <v>1.0926435986566192E-2</v>
      </c>
    </row>
    <row r="167" spans="1:19" x14ac:dyDescent="0.3">
      <c r="A167">
        <v>1013</v>
      </c>
      <c r="B167" s="1">
        <v>44982</v>
      </c>
      <c r="C167" s="1">
        <f>DATE(YEAR(Table1[[#This Row],[Sale_Date]]), MONTH(Table1[[#This Row],[Sale_Date]]), 1)</f>
        <v>44958</v>
      </c>
      <c r="D167" t="s">
        <v>38</v>
      </c>
      <c r="E167" t="s">
        <v>34</v>
      </c>
      <c r="F167" s="2">
        <v>4791.82</v>
      </c>
      <c r="G167">
        <v>31</v>
      </c>
      <c r="H167" t="s">
        <v>26</v>
      </c>
      <c r="I167" s="2">
        <v>2757.06</v>
      </c>
      <c r="J167" s="2">
        <v>3023.97</v>
      </c>
      <c r="K167" t="s">
        <v>17</v>
      </c>
      <c r="L167" s="5">
        <v>0.21</v>
      </c>
      <c r="M167" t="s">
        <v>18</v>
      </c>
      <c r="N167" t="s">
        <v>19</v>
      </c>
      <c r="O167" t="s">
        <v>48</v>
      </c>
      <c r="P167" s="4">
        <f t="shared" si="4"/>
        <v>74057.025299999994</v>
      </c>
      <c r="Q167" s="4">
        <f t="shared" si="5"/>
        <v>-11411.834700000003</v>
      </c>
      <c r="R167" t="str">
        <f>IF( Table1[[#This Row],[Total Amount after sale]] &gt; 0,"PROFIT","LOSS")</f>
        <v>LOSS</v>
      </c>
      <c r="S167" s="3">
        <f>(Table1[[#This Row],[Total Amount after sale]]/Table1[[#This Row],[Price after discount]])</f>
        <v>-0.1540952347703872</v>
      </c>
    </row>
    <row r="168" spans="1:19" x14ac:dyDescent="0.3">
      <c r="A168">
        <v>1086</v>
      </c>
      <c r="B168" s="1">
        <v>44983</v>
      </c>
      <c r="C168" s="1">
        <f>DATE(YEAR(Table1[[#This Row],[Sale_Date]]), MONTH(Table1[[#This Row],[Sale_Date]]), 1)</f>
        <v>44958</v>
      </c>
      <c r="D168" t="s">
        <v>14</v>
      </c>
      <c r="E168" t="s">
        <v>21</v>
      </c>
      <c r="F168" s="2">
        <v>2559</v>
      </c>
      <c r="G168">
        <v>5</v>
      </c>
      <c r="H168" t="s">
        <v>35</v>
      </c>
      <c r="I168" s="2">
        <v>4934.1000000000004</v>
      </c>
      <c r="J168" s="2">
        <v>5191.0200000000004</v>
      </c>
      <c r="K168" t="s">
        <v>30</v>
      </c>
      <c r="L168" s="5">
        <v>0.3</v>
      </c>
      <c r="M168" t="s">
        <v>27</v>
      </c>
      <c r="N168" t="s">
        <v>19</v>
      </c>
      <c r="O168" t="s">
        <v>23</v>
      </c>
      <c r="P168" s="4">
        <f t="shared" si="4"/>
        <v>18168.57</v>
      </c>
      <c r="Q168" s="4">
        <f t="shared" si="5"/>
        <v>-6501.9300000000021</v>
      </c>
      <c r="R168" t="str">
        <f>IF( Table1[[#This Row],[Total Amount after sale]] &gt; 0,"PROFIT","LOSS")</f>
        <v>LOSS</v>
      </c>
      <c r="S168" s="3">
        <f>(Table1[[#This Row],[Total Amount after sale]]/Table1[[#This Row],[Price after discount]])</f>
        <v>-0.35786690972377033</v>
      </c>
    </row>
    <row r="169" spans="1:19" x14ac:dyDescent="0.3">
      <c r="A169">
        <v>1085</v>
      </c>
      <c r="B169" s="1">
        <v>44984</v>
      </c>
      <c r="C169" s="1">
        <f>DATE(YEAR(Table1[[#This Row],[Sale_Date]]), MONTH(Table1[[#This Row],[Sale_Date]]), 1)</f>
        <v>44958</v>
      </c>
      <c r="D169" t="s">
        <v>38</v>
      </c>
      <c r="E169" t="s">
        <v>21</v>
      </c>
      <c r="F169" s="2">
        <v>5324.01</v>
      </c>
      <c r="G169">
        <v>45</v>
      </c>
      <c r="H169" t="s">
        <v>16</v>
      </c>
      <c r="I169" s="2">
        <v>3325.96</v>
      </c>
      <c r="J169" s="2">
        <v>3781.4</v>
      </c>
      <c r="K169" t="s">
        <v>17</v>
      </c>
      <c r="L169" s="5">
        <v>0.27</v>
      </c>
      <c r="M169" t="s">
        <v>31</v>
      </c>
      <c r="N169" t="s">
        <v>19</v>
      </c>
      <c r="O169" t="s">
        <v>41</v>
      </c>
      <c r="P169" s="4">
        <f t="shared" si="4"/>
        <v>124218.99</v>
      </c>
      <c r="Q169" s="4">
        <f t="shared" si="5"/>
        <v>-25449.21</v>
      </c>
      <c r="R169" t="str">
        <f>IF( Table1[[#This Row],[Total Amount after sale]] &gt; 0,"PROFIT","LOSS")</f>
        <v>LOSS</v>
      </c>
      <c r="S169" s="3">
        <f>(Table1[[#This Row],[Total Amount after sale]]/Table1[[#This Row],[Price after discount]])</f>
        <v>-0.20487374756468393</v>
      </c>
    </row>
    <row r="170" spans="1:19" x14ac:dyDescent="0.3">
      <c r="A170">
        <v>1083</v>
      </c>
      <c r="B170" s="1">
        <v>44984</v>
      </c>
      <c r="C170" s="1">
        <f>DATE(YEAR(Table1[[#This Row],[Sale_Date]]), MONTH(Table1[[#This Row],[Sale_Date]]), 1)</f>
        <v>44958</v>
      </c>
      <c r="D170" t="s">
        <v>42</v>
      </c>
      <c r="E170" t="s">
        <v>21</v>
      </c>
      <c r="F170" s="2">
        <v>1780.31</v>
      </c>
      <c r="G170">
        <v>20</v>
      </c>
      <c r="H170" t="s">
        <v>29</v>
      </c>
      <c r="I170" s="2">
        <v>3617.59</v>
      </c>
      <c r="J170" s="2">
        <v>4003.5</v>
      </c>
      <c r="K170" t="s">
        <v>30</v>
      </c>
      <c r="L170" s="5">
        <v>0.01</v>
      </c>
      <c r="M170" t="s">
        <v>31</v>
      </c>
      <c r="N170" t="s">
        <v>22</v>
      </c>
      <c r="O170" t="s">
        <v>51</v>
      </c>
      <c r="P170" s="4">
        <f t="shared" si="4"/>
        <v>79269.3</v>
      </c>
      <c r="Q170" s="4">
        <f t="shared" si="5"/>
        <v>6917.5</v>
      </c>
      <c r="R170" t="str">
        <f>IF( Table1[[#This Row],[Total Amount after sale]] &gt; 0,"PROFIT","LOSS")</f>
        <v>PROFIT</v>
      </c>
      <c r="S170" s="3">
        <f>(Table1[[#This Row],[Total Amount after sale]]/Table1[[#This Row],[Price after discount]])</f>
        <v>8.7265814129808134E-2</v>
      </c>
    </row>
    <row r="171" spans="1:19" x14ac:dyDescent="0.3">
      <c r="A171">
        <v>1087</v>
      </c>
      <c r="B171" s="1">
        <v>44985</v>
      </c>
      <c r="C171" s="1">
        <f>DATE(YEAR(Table1[[#This Row],[Sale_Date]]), MONTH(Table1[[#This Row],[Sale_Date]]), 1)</f>
        <v>44958</v>
      </c>
      <c r="D171" t="s">
        <v>42</v>
      </c>
      <c r="E171" t="s">
        <v>21</v>
      </c>
      <c r="F171" s="2">
        <v>7534.3</v>
      </c>
      <c r="G171">
        <v>15</v>
      </c>
      <c r="H171" t="s">
        <v>16</v>
      </c>
      <c r="I171" s="2">
        <v>4074.66</v>
      </c>
      <c r="J171" s="2">
        <v>4261.1099999999997</v>
      </c>
      <c r="K171" t="s">
        <v>17</v>
      </c>
      <c r="L171" s="5">
        <v>0.05</v>
      </c>
      <c r="M171" t="s">
        <v>31</v>
      </c>
      <c r="N171" t="s">
        <v>22</v>
      </c>
      <c r="O171" t="s">
        <v>51</v>
      </c>
      <c r="P171" s="4">
        <f t="shared" si="4"/>
        <v>60720.81749999999</v>
      </c>
      <c r="Q171" s="4">
        <f t="shared" si="5"/>
        <v>-399.08250000000862</v>
      </c>
      <c r="R171" t="str">
        <f>IF( Table1[[#This Row],[Total Amount after sale]] &gt; 0,"PROFIT","LOSS")</f>
        <v>LOSS</v>
      </c>
      <c r="S171" s="3">
        <f>(Table1[[#This Row],[Total Amount after sale]]/Table1[[#This Row],[Price after discount]])</f>
        <v>-6.5724164533853434E-3</v>
      </c>
    </row>
    <row r="172" spans="1:19" x14ac:dyDescent="0.3">
      <c r="A172">
        <v>1033</v>
      </c>
      <c r="B172" s="1">
        <v>44985</v>
      </c>
      <c r="C172" s="1">
        <f>DATE(YEAR(Table1[[#This Row],[Sale_Date]]), MONTH(Table1[[#This Row],[Sale_Date]]), 1)</f>
        <v>44958</v>
      </c>
      <c r="D172" t="s">
        <v>24</v>
      </c>
      <c r="E172" t="s">
        <v>21</v>
      </c>
      <c r="F172" s="2">
        <v>4155.74</v>
      </c>
      <c r="G172">
        <v>3</v>
      </c>
      <c r="H172" t="s">
        <v>29</v>
      </c>
      <c r="I172" s="2">
        <v>2958.75</v>
      </c>
      <c r="J172" s="2">
        <v>3177.64</v>
      </c>
      <c r="K172" t="s">
        <v>17</v>
      </c>
      <c r="L172" s="5">
        <v>0.17</v>
      </c>
      <c r="M172" t="s">
        <v>18</v>
      </c>
      <c r="N172" t="s">
        <v>19</v>
      </c>
      <c r="O172" t="s">
        <v>47</v>
      </c>
      <c r="P172" s="4">
        <f t="shared" si="4"/>
        <v>7912.3235999999997</v>
      </c>
      <c r="Q172" s="4">
        <f t="shared" si="5"/>
        <v>-963.92640000000074</v>
      </c>
      <c r="R172" t="str">
        <f>IF( Table1[[#This Row],[Total Amount after sale]] &gt; 0,"PROFIT","LOSS")</f>
        <v>LOSS</v>
      </c>
      <c r="S172" s="3">
        <f>(Table1[[#This Row],[Total Amount after sale]]/Table1[[#This Row],[Price after discount]])</f>
        <v>-0.12182595767443091</v>
      </c>
    </row>
    <row r="173" spans="1:19" x14ac:dyDescent="0.3">
      <c r="A173">
        <v>1012</v>
      </c>
      <c r="B173" s="1">
        <v>44985</v>
      </c>
      <c r="C173" s="1">
        <f>DATE(YEAR(Table1[[#This Row],[Sale_Date]]), MONTH(Table1[[#This Row],[Sale_Date]]), 1)</f>
        <v>44958</v>
      </c>
      <c r="D173" t="s">
        <v>24</v>
      </c>
      <c r="E173" t="s">
        <v>34</v>
      </c>
      <c r="F173" s="2">
        <v>5650.72</v>
      </c>
      <c r="G173">
        <v>33</v>
      </c>
      <c r="H173" t="s">
        <v>26</v>
      </c>
      <c r="I173" s="2">
        <v>3831.09</v>
      </c>
      <c r="J173" s="2">
        <v>3908.37</v>
      </c>
      <c r="K173" t="s">
        <v>30</v>
      </c>
      <c r="L173" s="5">
        <v>0.28999999999999998</v>
      </c>
      <c r="M173" t="s">
        <v>18</v>
      </c>
      <c r="N173" t="s">
        <v>22</v>
      </c>
      <c r="O173" t="s">
        <v>50</v>
      </c>
      <c r="P173" s="4">
        <f t="shared" si="4"/>
        <v>91573.109099999987</v>
      </c>
      <c r="Q173" s="4">
        <f t="shared" si="5"/>
        <v>-34852.860900000014</v>
      </c>
      <c r="R173" t="str">
        <f>IF( Table1[[#This Row],[Total Amount after sale]] &gt; 0,"PROFIT","LOSS")</f>
        <v>LOSS</v>
      </c>
      <c r="S173" s="3">
        <f>(Table1[[#This Row],[Total Amount after sale]]/Table1[[#This Row],[Price after discount]])</f>
        <v>-0.38060148052786841</v>
      </c>
    </row>
    <row r="174" spans="1:19" x14ac:dyDescent="0.3">
      <c r="A174">
        <v>1025</v>
      </c>
      <c r="B174" s="1">
        <v>44985</v>
      </c>
      <c r="C174" s="1">
        <f>DATE(YEAR(Table1[[#This Row],[Sale_Date]]), MONTH(Table1[[#This Row],[Sale_Date]]), 1)</f>
        <v>44958</v>
      </c>
      <c r="D174" t="s">
        <v>14</v>
      </c>
      <c r="E174" t="s">
        <v>34</v>
      </c>
      <c r="F174" s="2">
        <v>8236.1299999999992</v>
      </c>
      <c r="G174">
        <v>14</v>
      </c>
      <c r="H174" t="s">
        <v>35</v>
      </c>
      <c r="I174" s="2">
        <v>859.59</v>
      </c>
      <c r="J174" s="2">
        <v>884.51</v>
      </c>
      <c r="K174" t="s">
        <v>30</v>
      </c>
      <c r="L174" s="5">
        <v>0.12</v>
      </c>
      <c r="M174" t="s">
        <v>27</v>
      </c>
      <c r="N174" t="s">
        <v>19</v>
      </c>
      <c r="O174" t="s">
        <v>46</v>
      </c>
      <c r="P174" s="4">
        <f t="shared" si="4"/>
        <v>10897.163199999999</v>
      </c>
      <c r="Q174" s="4">
        <f t="shared" si="5"/>
        <v>-1137.0968000000009</v>
      </c>
      <c r="R174" t="str">
        <f>IF( Table1[[#This Row],[Total Amount after sale]] &gt; 0,"PROFIT","LOSS")</f>
        <v>LOSS</v>
      </c>
      <c r="S174" s="3">
        <f>(Table1[[#This Row],[Total Amount after sale]]/Table1[[#This Row],[Price after discount]])</f>
        <v>-0.10434796461523134</v>
      </c>
    </row>
    <row r="175" spans="1:19" x14ac:dyDescent="0.3">
      <c r="A175">
        <v>1056</v>
      </c>
      <c r="B175" s="1">
        <v>44985</v>
      </c>
      <c r="C175" s="1">
        <f>DATE(YEAR(Table1[[#This Row],[Sale_Date]]), MONTH(Table1[[#This Row],[Sale_Date]]), 1)</f>
        <v>44958</v>
      </c>
      <c r="D175" t="s">
        <v>38</v>
      </c>
      <c r="E175" t="s">
        <v>15</v>
      </c>
      <c r="F175" s="2">
        <v>6629.16</v>
      </c>
      <c r="G175">
        <v>37</v>
      </c>
      <c r="H175" t="s">
        <v>35</v>
      </c>
      <c r="I175" s="2">
        <v>1555.41</v>
      </c>
      <c r="J175" s="2">
        <v>1609.94</v>
      </c>
      <c r="K175" t="s">
        <v>17</v>
      </c>
      <c r="L175" s="5">
        <v>0.16</v>
      </c>
      <c r="M175" t="s">
        <v>31</v>
      </c>
      <c r="N175" t="s">
        <v>19</v>
      </c>
      <c r="O175" t="s">
        <v>40</v>
      </c>
      <c r="P175" s="4">
        <f t="shared" si="4"/>
        <v>50036.9352</v>
      </c>
      <c r="Q175" s="4">
        <f t="shared" si="5"/>
        <v>-7513.2348000000029</v>
      </c>
      <c r="R175" t="str">
        <f>IF( Table1[[#This Row],[Total Amount after sale]] &gt; 0,"PROFIT","LOSS")</f>
        <v>LOSS</v>
      </c>
      <c r="S175" s="3">
        <f>(Table1[[#This Row],[Total Amount after sale]]/Table1[[#This Row],[Price after discount]])</f>
        <v>-0.15015377680445949</v>
      </c>
    </row>
    <row r="176" spans="1:19" x14ac:dyDescent="0.3">
      <c r="A176">
        <v>1007</v>
      </c>
      <c r="B176" s="1">
        <v>44985</v>
      </c>
      <c r="C176" s="1">
        <f>DATE(YEAR(Table1[[#This Row],[Sale_Date]]), MONTH(Table1[[#This Row],[Sale_Date]]), 1)</f>
        <v>44958</v>
      </c>
      <c r="D176" t="s">
        <v>33</v>
      </c>
      <c r="E176" t="s">
        <v>34</v>
      </c>
      <c r="F176" s="2">
        <v>1833.72</v>
      </c>
      <c r="G176">
        <v>43</v>
      </c>
      <c r="H176" t="s">
        <v>16</v>
      </c>
      <c r="I176" s="2">
        <v>3967.25</v>
      </c>
      <c r="J176" s="2">
        <v>4272.92</v>
      </c>
      <c r="K176" t="s">
        <v>30</v>
      </c>
      <c r="L176" s="5">
        <v>0.27</v>
      </c>
      <c r="M176" t="s">
        <v>31</v>
      </c>
      <c r="N176" t="s">
        <v>19</v>
      </c>
      <c r="O176" t="s">
        <v>36</v>
      </c>
      <c r="P176" s="4">
        <f t="shared" si="4"/>
        <v>134126.95879999999</v>
      </c>
      <c r="Q176" s="4">
        <f t="shared" si="5"/>
        <v>-36464.7912</v>
      </c>
      <c r="R176" t="str">
        <f>IF( Table1[[#This Row],[Total Amount after sale]] &gt; 0,"PROFIT","LOSS")</f>
        <v>LOSS</v>
      </c>
      <c r="S176" s="3">
        <f>(Table1[[#This Row],[Total Amount after sale]]/Table1[[#This Row],[Price after discount]])</f>
        <v>-0.27186772537185122</v>
      </c>
    </row>
    <row r="177" spans="1:19" x14ac:dyDescent="0.3">
      <c r="A177">
        <v>1029</v>
      </c>
      <c r="B177" s="1">
        <v>44986</v>
      </c>
      <c r="C177" s="1">
        <f>DATE(YEAR(Table1[[#This Row],[Sale_Date]]), MONTH(Table1[[#This Row],[Sale_Date]]), 1)</f>
        <v>44986</v>
      </c>
      <c r="D177" t="s">
        <v>24</v>
      </c>
      <c r="E177" t="s">
        <v>34</v>
      </c>
      <c r="F177" s="2">
        <v>6773.89</v>
      </c>
      <c r="G177">
        <v>28</v>
      </c>
      <c r="H177" t="s">
        <v>29</v>
      </c>
      <c r="I177" s="2">
        <v>2873.53</v>
      </c>
      <c r="J177" s="2">
        <v>3108.3</v>
      </c>
      <c r="K177" t="s">
        <v>30</v>
      </c>
      <c r="L177" s="5">
        <v>0.15</v>
      </c>
      <c r="M177" t="s">
        <v>31</v>
      </c>
      <c r="N177" t="s">
        <v>22</v>
      </c>
      <c r="O177" t="s">
        <v>50</v>
      </c>
      <c r="P177" s="4">
        <f t="shared" si="4"/>
        <v>73977.540000000008</v>
      </c>
      <c r="Q177" s="4">
        <f t="shared" si="5"/>
        <v>-6481.2999999999975</v>
      </c>
      <c r="R177" t="str">
        <f>IF( Table1[[#This Row],[Total Amount after sale]] &gt; 0,"PROFIT","LOSS")</f>
        <v>LOSS</v>
      </c>
      <c r="S177" s="3">
        <f>(Table1[[#This Row],[Total Amount after sale]]/Table1[[#This Row],[Price after discount]])</f>
        <v>-8.7611726478063437E-2</v>
      </c>
    </row>
    <row r="178" spans="1:19" x14ac:dyDescent="0.3">
      <c r="A178">
        <v>1041</v>
      </c>
      <c r="B178" s="1">
        <v>44986</v>
      </c>
      <c r="C178" s="1">
        <f>DATE(YEAR(Table1[[#This Row],[Sale_Date]]), MONTH(Table1[[#This Row],[Sale_Date]]), 1)</f>
        <v>44986</v>
      </c>
      <c r="D178" t="s">
        <v>33</v>
      </c>
      <c r="E178" t="s">
        <v>34</v>
      </c>
      <c r="F178" s="2">
        <v>4170.8</v>
      </c>
      <c r="G178">
        <v>44</v>
      </c>
      <c r="H178" t="s">
        <v>35</v>
      </c>
      <c r="I178" s="2">
        <v>3288.39</v>
      </c>
      <c r="J178" s="2">
        <v>3391.46</v>
      </c>
      <c r="K178" t="s">
        <v>30</v>
      </c>
      <c r="L178" s="5">
        <v>0.05</v>
      </c>
      <c r="M178" t="s">
        <v>31</v>
      </c>
      <c r="N178" t="s">
        <v>22</v>
      </c>
      <c r="O178" t="s">
        <v>36</v>
      </c>
      <c r="P178" s="4">
        <f t="shared" si="4"/>
        <v>141763.02799999999</v>
      </c>
      <c r="Q178" s="4">
        <f t="shared" si="5"/>
        <v>-2926.1320000000069</v>
      </c>
      <c r="R178" t="str">
        <f>IF( Table1[[#This Row],[Total Amount after sale]] &gt; 0,"PROFIT","LOSS")</f>
        <v>LOSS</v>
      </c>
      <c r="S178" s="3">
        <f>(Table1[[#This Row],[Total Amount after sale]]/Table1[[#This Row],[Price after discount]])</f>
        <v>-2.0641009445706866E-2</v>
      </c>
    </row>
    <row r="179" spans="1:19" x14ac:dyDescent="0.3">
      <c r="A179">
        <v>1034</v>
      </c>
      <c r="B179" s="1">
        <v>44986</v>
      </c>
      <c r="C179" s="1">
        <f>DATE(YEAR(Table1[[#This Row],[Sale_Date]]), MONTH(Table1[[#This Row],[Sale_Date]]), 1)</f>
        <v>44986</v>
      </c>
      <c r="D179" t="s">
        <v>33</v>
      </c>
      <c r="E179" t="s">
        <v>21</v>
      </c>
      <c r="F179" s="2">
        <v>2842.42</v>
      </c>
      <c r="G179">
        <v>45</v>
      </c>
      <c r="H179" t="s">
        <v>26</v>
      </c>
      <c r="I179" s="2">
        <v>2013.12</v>
      </c>
      <c r="J179" s="2">
        <v>2321.87</v>
      </c>
      <c r="K179" t="s">
        <v>30</v>
      </c>
      <c r="L179" s="5">
        <v>0.18</v>
      </c>
      <c r="M179" t="s">
        <v>27</v>
      </c>
      <c r="N179" t="s">
        <v>22</v>
      </c>
      <c r="O179" t="s">
        <v>37</v>
      </c>
      <c r="P179" s="4">
        <f t="shared" si="4"/>
        <v>85677.003000000012</v>
      </c>
      <c r="Q179" s="4">
        <f t="shared" si="5"/>
        <v>-4913.3969999999899</v>
      </c>
      <c r="R179" t="str">
        <f>IF( Table1[[#This Row],[Total Amount after sale]] &gt; 0,"PROFIT","LOSS")</f>
        <v>LOSS</v>
      </c>
      <c r="S179" s="3">
        <f>(Table1[[#This Row],[Total Amount after sale]]/Table1[[#This Row],[Price after discount]])</f>
        <v>-5.7347909333383067E-2</v>
      </c>
    </row>
    <row r="180" spans="1:19" x14ac:dyDescent="0.3">
      <c r="A180">
        <v>1058</v>
      </c>
      <c r="B180" s="1">
        <v>44987</v>
      </c>
      <c r="C180" s="1">
        <f>DATE(YEAR(Table1[[#This Row],[Sale_Date]]), MONTH(Table1[[#This Row],[Sale_Date]]), 1)</f>
        <v>44986</v>
      </c>
      <c r="D180" t="s">
        <v>38</v>
      </c>
      <c r="E180" t="s">
        <v>21</v>
      </c>
      <c r="F180" s="2">
        <v>9333.83</v>
      </c>
      <c r="G180">
        <v>39</v>
      </c>
      <c r="H180" t="s">
        <v>26</v>
      </c>
      <c r="I180" s="2">
        <v>3542.8</v>
      </c>
      <c r="J180" s="2">
        <v>3603.02</v>
      </c>
      <c r="K180" t="s">
        <v>17</v>
      </c>
      <c r="L180" s="5">
        <v>0.26</v>
      </c>
      <c r="M180" t="s">
        <v>18</v>
      </c>
      <c r="N180" t="s">
        <v>19</v>
      </c>
      <c r="O180" t="s">
        <v>41</v>
      </c>
      <c r="P180" s="4">
        <f t="shared" si="4"/>
        <v>103983.1572</v>
      </c>
      <c r="Q180" s="4">
        <f t="shared" si="5"/>
        <v>-34186.042800000003</v>
      </c>
      <c r="R180" t="str">
        <f>IF( Table1[[#This Row],[Total Amount after sale]] &gt; 0,"PROFIT","LOSS")</f>
        <v>LOSS</v>
      </c>
      <c r="S180" s="3">
        <f>(Table1[[#This Row],[Total Amount after sale]]/Table1[[#This Row],[Price after discount]])</f>
        <v>-0.32876519352309108</v>
      </c>
    </row>
    <row r="181" spans="1:19" x14ac:dyDescent="0.3">
      <c r="A181">
        <v>1023</v>
      </c>
      <c r="B181" s="1">
        <v>44987</v>
      </c>
      <c r="C181" s="1">
        <f>DATE(YEAR(Table1[[#This Row],[Sale_Date]]), MONTH(Table1[[#This Row],[Sale_Date]]), 1)</f>
        <v>44986</v>
      </c>
      <c r="D181" t="s">
        <v>24</v>
      </c>
      <c r="E181" t="s">
        <v>21</v>
      </c>
      <c r="F181" s="2">
        <v>1260.32</v>
      </c>
      <c r="G181">
        <v>39</v>
      </c>
      <c r="H181" t="s">
        <v>26</v>
      </c>
      <c r="I181" s="2">
        <v>4450.6099999999997</v>
      </c>
      <c r="J181" s="2">
        <v>4663.3399999999901</v>
      </c>
      <c r="K181" t="s">
        <v>30</v>
      </c>
      <c r="L181" s="5">
        <v>0.24</v>
      </c>
      <c r="M181" t="s">
        <v>18</v>
      </c>
      <c r="N181" t="s">
        <v>22</v>
      </c>
      <c r="O181" t="s">
        <v>47</v>
      </c>
      <c r="P181" s="4">
        <f t="shared" si="4"/>
        <v>138221.39759999971</v>
      </c>
      <c r="Q181" s="4">
        <f t="shared" si="5"/>
        <v>-35352.392400000281</v>
      </c>
      <c r="R181" t="str">
        <f>IF( Table1[[#This Row],[Total Amount after sale]] &gt; 0,"PROFIT","LOSS")</f>
        <v>LOSS</v>
      </c>
      <c r="S181" s="3">
        <f>(Table1[[#This Row],[Total Amount after sale]]/Table1[[#This Row],[Price after discount]])</f>
        <v>-0.25576642266566374</v>
      </c>
    </row>
    <row r="182" spans="1:19" x14ac:dyDescent="0.3">
      <c r="A182">
        <v>1058</v>
      </c>
      <c r="B182" s="1">
        <v>44987</v>
      </c>
      <c r="C182" s="1">
        <f>DATE(YEAR(Table1[[#This Row],[Sale_Date]]), MONTH(Table1[[#This Row],[Sale_Date]]), 1)</f>
        <v>44986</v>
      </c>
      <c r="D182" t="s">
        <v>38</v>
      </c>
      <c r="E182" t="s">
        <v>34</v>
      </c>
      <c r="F182" s="2">
        <v>5463.43</v>
      </c>
      <c r="G182">
        <v>49</v>
      </c>
      <c r="H182" t="s">
        <v>16</v>
      </c>
      <c r="I182" s="2">
        <v>1307.22</v>
      </c>
      <c r="J182" s="2">
        <v>1528.4</v>
      </c>
      <c r="K182" t="s">
        <v>17</v>
      </c>
      <c r="L182" s="5">
        <v>0.24</v>
      </c>
      <c r="M182" t="s">
        <v>18</v>
      </c>
      <c r="N182" t="s">
        <v>22</v>
      </c>
      <c r="O182" t="s">
        <v>48</v>
      </c>
      <c r="P182" s="4">
        <f t="shared" si="4"/>
        <v>56917.616000000002</v>
      </c>
      <c r="Q182" s="4">
        <f t="shared" si="5"/>
        <v>-7136.1639999999989</v>
      </c>
      <c r="R182" t="str">
        <f>IF( Table1[[#This Row],[Total Amount after sale]] &gt; 0,"PROFIT","LOSS")</f>
        <v>LOSS</v>
      </c>
      <c r="S182" s="3">
        <f>(Table1[[#This Row],[Total Amount after sale]]/Table1[[#This Row],[Price after discount]])</f>
        <v>-0.12537707130952214</v>
      </c>
    </row>
    <row r="183" spans="1:19" x14ac:dyDescent="0.3">
      <c r="A183">
        <v>1007</v>
      </c>
      <c r="B183" s="1">
        <v>44988</v>
      </c>
      <c r="C183" s="1">
        <f>DATE(YEAR(Table1[[#This Row],[Sale_Date]]), MONTH(Table1[[#This Row],[Sale_Date]]), 1)</f>
        <v>44986</v>
      </c>
      <c r="D183" t="s">
        <v>38</v>
      </c>
      <c r="E183" t="s">
        <v>21</v>
      </c>
      <c r="F183" s="2">
        <v>4694.54</v>
      </c>
      <c r="G183">
        <v>1</v>
      </c>
      <c r="H183" t="s">
        <v>26</v>
      </c>
      <c r="I183" s="2">
        <v>2543.2600000000002</v>
      </c>
      <c r="J183" s="2">
        <v>2637.91</v>
      </c>
      <c r="K183" t="s">
        <v>17</v>
      </c>
      <c r="L183" s="5">
        <v>0.2</v>
      </c>
      <c r="M183" t="s">
        <v>31</v>
      </c>
      <c r="N183" t="s">
        <v>19</v>
      </c>
      <c r="O183" t="s">
        <v>41</v>
      </c>
      <c r="P183" s="4">
        <f t="shared" si="4"/>
        <v>2110.328</v>
      </c>
      <c r="Q183" s="4">
        <f t="shared" si="5"/>
        <v>-432.93200000000024</v>
      </c>
      <c r="R183" t="str">
        <f>IF( Table1[[#This Row],[Total Amount after sale]] &gt; 0,"PROFIT","LOSS")</f>
        <v>LOSS</v>
      </c>
      <c r="S183" s="3">
        <f>(Table1[[#This Row],[Total Amount after sale]]/Table1[[#This Row],[Price after discount]])</f>
        <v>-0.20514915216971022</v>
      </c>
    </row>
    <row r="184" spans="1:19" x14ac:dyDescent="0.3">
      <c r="A184">
        <v>1035</v>
      </c>
      <c r="B184" s="1">
        <v>44988</v>
      </c>
      <c r="C184" s="1">
        <f>DATE(YEAR(Table1[[#This Row],[Sale_Date]]), MONTH(Table1[[#This Row],[Sale_Date]]), 1)</f>
        <v>44986</v>
      </c>
      <c r="D184" t="s">
        <v>14</v>
      </c>
      <c r="E184" t="s">
        <v>21</v>
      </c>
      <c r="F184" s="2">
        <v>2494.7399999999998</v>
      </c>
      <c r="G184">
        <v>47</v>
      </c>
      <c r="H184" t="s">
        <v>35</v>
      </c>
      <c r="I184" s="2">
        <v>2936.48</v>
      </c>
      <c r="J184" s="2">
        <v>3096.64</v>
      </c>
      <c r="K184" t="s">
        <v>30</v>
      </c>
      <c r="L184" s="5">
        <v>0.06</v>
      </c>
      <c r="M184" t="s">
        <v>27</v>
      </c>
      <c r="N184" t="s">
        <v>19</v>
      </c>
      <c r="O184" t="s">
        <v>23</v>
      </c>
      <c r="P184" s="4">
        <f t="shared" si="4"/>
        <v>136809.5552</v>
      </c>
      <c r="Q184" s="4">
        <f t="shared" si="5"/>
        <v>-1205.0048000000129</v>
      </c>
      <c r="R184" t="str">
        <f>IF( Table1[[#This Row],[Total Amount after sale]] &gt; 0,"PROFIT","LOSS")</f>
        <v>LOSS</v>
      </c>
      <c r="S184" s="3">
        <f>(Table1[[#This Row],[Total Amount after sale]]/Table1[[#This Row],[Price after discount]])</f>
        <v>-8.8078994061374805E-3</v>
      </c>
    </row>
    <row r="185" spans="1:19" x14ac:dyDescent="0.3">
      <c r="A185">
        <v>1089</v>
      </c>
      <c r="B185" s="1">
        <v>44988</v>
      </c>
      <c r="C185" s="1">
        <f>DATE(YEAR(Table1[[#This Row],[Sale_Date]]), MONTH(Table1[[#This Row],[Sale_Date]]), 1)</f>
        <v>44986</v>
      </c>
      <c r="D185" t="s">
        <v>33</v>
      </c>
      <c r="E185" t="s">
        <v>15</v>
      </c>
      <c r="F185" s="2">
        <v>2122.73</v>
      </c>
      <c r="G185">
        <v>4</v>
      </c>
      <c r="H185" t="s">
        <v>16</v>
      </c>
      <c r="I185" s="2">
        <v>4117.67</v>
      </c>
      <c r="J185" s="2">
        <v>4280.0600000000004</v>
      </c>
      <c r="K185" t="s">
        <v>17</v>
      </c>
      <c r="L185" s="5">
        <v>0.18</v>
      </c>
      <c r="M185" t="s">
        <v>27</v>
      </c>
      <c r="N185" t="s">
        <v>19</v>
      </c>
      <c r="O185" t="s">
        <v>53</v>
      </c>
      <c r="P185" s="4">
        <f t="shared" si="4"/>
        <v>14038.596800000003</v>
      </c>
      <c r="Q185" s="4">
        <f t="shared" si="5"/>
        <v>-2432.0831999999973</v>
      </c>
      <c r="R185" t="str">
        <f>IF( Table1[[#This Row],[Total Amount after sale]] &gt; 0,"PROFIT","LOSS")</f>
        <v>LOSS</v>
      </c>
      <c r="S185" s="3">
        <f>(Table1[[#This Row],[Total Amount after sale]]/Table1[[#This Row],[Price after discount]])</f>
        <v>-0.17324261353527845</v>
      </c>
    </row>
    <row r="186" spans="1:19" x14ac:dyDescent="0.3">
      <c r="A186">
        <v>1095</v>
      </c>
      <c r="B186" s="1">
        <v>44988</v>
      </c>
      <c r="C186" s="1">
        <f>DATE(YEAR(Table1[[#This Row],[Sale_Date]]), MONTH(Table1[[#This Row],[Sale_Date]]), 1)</f>
        <v>44986</v>
      </c>
      <c r="D186" t="s">
        <v>38</v>
      </c>
      <c r="E186" t="s">
        <v>34</v>
      </c>
      <c r="F186" s="2">
        <v>6518.35</v>
      </c>
      <c r="G186">
        <v>16</v>
      </c>
      <c r="H186" t="s">
        <v>35</v>
      </c>
      <c r="I186" s="2">
        <v>3591.05</v>
      </c>
      <c r="J186" s="2">
        <v>3625.35</v>
      </c>
      <c r="K186" t="s">
        <v>17</v>
      </c>
      <c r="L186" s="5">
        <v>0.05</v>
      </c>
      <c r="M186" t="s">
        <v>31</v>
      </c>
      <c r="N186" t="s">
        <v>22</v>
      </c>
      <c r="O186" t="s">
        <v>48</v>
      </c>
      <c r="P186" s="4">
        <f t="shared" si="4"/>
        <v>55105.319999999992</v>
      </c>
      <c r="Q186" s="4">
        <f t="shared" si="5"/>
        <v>-2351.4800000000105</v>
      </c>
      <c r="R186" t="str">
        <f>IF( Table1[[#This Row],[Total Amount after sale]] &gt; 0,"PROFIT","LOSS")</f>
        <v>LOSS</v>
      </c>
      <c r="S186" s="3">
        <f>(Table1[[#This Row],[Total Amount after sale]]/Table1[[#This Row],[Price after discount]])</f>
        <v>-4.2672467921427745E-2</v>
      </c>
    </row>
    <row r="187" spans="1:19" x14ac:dyDescent="0.3">
      <c r="A187">
        <v>1099</v>
      </c>
      <c r="B187" s="1">
        <v>44989</v>
      </c>
      <c r="C187" s="1">
        <f>DATE(YEAR(Table1[[#This Row],[Sale_Date]]), MONTH(Table1[[#This Row],[Sale_Date]]), 1)</f>
        <v>44986</v>
      </c>
      <c r="D187" t="s">
        <v>24</v>
      </c>
      <c r="E187" t="s">
        <v>34</v>
      </c>
      <c r="F187" s="2">
        <v>7952.11</v>
      </c>
      <c r="G187">
        <v>10</v>
      </c>
      <c r="H187" t="s">
        <v>16</v>
      </c>
      <c r="I187" s="2">
        <v>1531.2</v>
      </c>
      <c r="J187" s="2">
        <v>1955.56</v>
      </c>
      <c r="K187" t="s">
        <v>30</v>
      </c>
      <c r="L187" s="5">
        <v>0</v>
      </c>
      <c r="M187" t="s">
        <v>31</v>
      </c>
      <c r="N187" t="s">
        <v>19</v>
      </c>
      <c r="O187" t="s">
        <v>50</v>
      </c>
      <c r="P187" s="4">
        <f t="shared" si="4"/>
        <v>19555.599999999999</v>
      </c>
      <c r="Q187" s="4">
        <f t="shared" si="5"/>
        <v>4243.5999999999985</v>
      </c>
      <c r="R187" t="str">
        <f>IF( Table1[[#This Row],[Total Amount after sale]] &gt; 0,"PROFIT","LOSS")</f>
        <v>PROFIT</v>
      </c>
      <c r="S187" s="3">
        <f>(Table1[[#This Row],[Total Amount after sale]]/Table1[[#This Row],[Price after discount]])</f>
        <v>0.21700177954141006</v>
      </c>
    </row>
    <row r="188" spans="1:19" x14ac:dyDescent="0.3">
      <c r="A188">
        <v>1070</v>
      </c>
      <c r="B188" s="1">
        <v>44989</v>
      </c>
      <c r="C188" s="1">
        <f>DATE(YEAR(Table1[[#This Row],[Sale_Date]]), MONTH(Table1[[#This Row],[Sale_Date]]), 1)</f>
        <v>44986</v>
      </c>
      <c r="D188" t="s">
        <v>14</v>
      </c>
      <c r="E188" t="s">
        <v>25</v>
      </c>
      <c r="F188" s="2">
        <v>8771.24</v>
      </c>
      <c r="G188">
        <v>15</v>
      </c>
      <c r="H188" t="s">
        <v>35</v>
      </c>
      <c r="I188" s="2">
        <v>3653.66</v>
      </c>
      <c r="J188" s="2">
        <v>3896.19</v>
      </c>
      <c r="K188" t="s">
        <v>30</v>
      </c>
      <c r="L188" s="5">
        <v>0.03</v>
      </c>
      <c r="M188" t="s">
        <v>31</v>
      </c>
      <c r="N188" t="s">
        <v>22</v>
      </c>
      <c r="O188" t="s">
        <v>32</v>
      </c>
      <c r="P188" s="4">
        <f t="shared" si="4"/>
        <v>56689.564499999993</v>
      </c>
      <c r="Q188" s="4">
        <f t="shared" si="5"/>
        <v>1884.664499999999</v>
      </c>
      <c r="R188" t="str">
        <f>IF( Table1[[#This Row],[Total Amount after sale]] &gt; 0,"PROFIT","LOSS")</f>
        <v>PROFIT</v>
      </c>
      <c r="S188" s="3">
        <f>(Table1[[#This Row],[Total Amount after sale]]/Table1[[#This Row],[Price after discount]])</f>
        <v>3.3245351532026658E-2</v>
      </c>
    </row>
    <row r="189" spans="1:19" x14ac:dyDescent="0.3">
      <c r="A189">
        <v>1033</v>
      </c>
      <c r="B189" s="1">
        <v>44989</v>
      </c>
      <c r="C189" s="1">
        <f>DATE(YEAR(Table1[[#This Row],[Sale_Date]]), MONTH(Table1[[#This Row],[Sale_Date]]), 1)</f>
        <v>44986</v>
      </c>
      <c r="D189" t="s">
        <v>14</v>
      </c>
      <c r="E189" t="s">
        <v>21</v>
      </c>
      <c r="F189" s="2">
        <v>8499.41</v>
      </c>
      <c r="G189">
        <v>14</v>
      </c>
      <c r="H189" t="s">
        <v>29</v>
      </c>
      <c r="I189" s="2">
        <v>362.38</v>
      </c>
      <c r="J189" s="2">
        <v>753.81</v>
      </c>
      <c r="K189" t="s">
        <v>17</v>
      </c>
      <c r="L189" s="5">
        <v>0.19</v>
      </c>
      <c r="M189" t="s">
        <v>18</v>
      </c>
      <c r="N189" t="s">
        <v>22</v>
      </c>
      <c r="O189" t="s">
        <v>23</v>
      </c>
      <c r="P189" s="4">
        <f t="shared" si="4"/>
        <v>8548.2053999999989</v>
      </c>
      <c r="Q189" s="4">
        <f t="shared" si="5"/>
        <v>3474.8854000000001</v>
      </c>
      <c r="R189" t="str">
        <f>IF( Table1[[#This Row],[Total Amount after sale]] &gt; 0,"PROFIT","LOSS")</f>
        <v>PROFIT</v>
      </c>
      <c r="S189" s="3">
        <f>(Table1[[#This Row],[Total Amount after sale]]/Table1[[#This Row],[Price after discount]])</f>
        <v>0.40650466821960085</v>
      </c>
    </row>
    <row r="190" spans="1:19" x14ac:dyDescent="0.3">
      <c r="A190">
        <v>1094</v>
      </c>
      <c r="B190" s="1">
        <v>44989</v>
      </c>
      <c r="C190" s="1">
        <f>DATE(YEAR(Table1[[#This Row],[Sale_Date]]), MONTH(Table1[[#This Row],[Sale_Date]]), 1)</f>
        <v>44986</v>
      </c>
      <c r="D190" t="s">
        <v>14</v>
      </c>
      <c r="E190" t="s">
        <v>15</v>
      </c>
      <c r="F190" s="2">
        <v>3992.63</v>
      </c>
      <c r="G190">
        <v>49</v>
      </c>
      <c r="H190" t="s">
        <v>26</v>
      </c>
      <c r="I190" s="2">
        <v>615.47</v>
      </c>
      <c r="J190" s="2">
        <v>715.84</v>
      </c>
      <c r="K190" t="s">
        <v>17</v>
      </c>
      <c r="L190" s="5">
        <v>0.21</v>
      </c>
      <c r="M190" t="s">
        <v>31</v>
      </c>
      <c r="N190" t="s">
        <v>22</v>
      </c>
      <c r="O190" t="s">
        <v>20</v>
      </c>
      <c r="P190" s="4">
        <f t="shared" si="4"/>
        <v>27710.166399999998</v>
      </c>
      <c r="Q190" s="4">
        <f t="shared" si="5"/>
        <v>-2447.8636000000015</v>
      </c>
      <c r="R190" t="str">
        <f>IF( Table1[[#This Row],[Total Amount after sale]] &gt; 0,"PROFIT","LOSS")</f>
        <v>LOSS</v>
      </c>
      <c r="S190" s="3">
        <f>(Table1[[#This Row],[Total Amount after sale]]/Table1[[#This Row],[Price after discount]])</f>
        <v>-8.8338105396581143E-2</v>
      </c>
    </row>
    <row r="191" spans="1:19" x14ac:dyDescent="0.3">
      <c r="A191">
        <v>1009</v>
      </c>
      <c r="B191" s="1">
        <v>44989</v>
      </c>
      <c r="C191" s="1">
        <f>DATE(YEAR(Table1[[#This Row],[Sale_Date]]), MONTH(Table1[[#This Row],[Sale_Date]]), 1)</f>
        <v>44986</v>
      </c>
      <c r="D191" t="s">
        <v>24</v>
      </c>
      <c r="E191" t="s">
        <v>34</v>
      </c>
      <c r="F191" s="2">
        <v>198.79</v>
      </c>
      <c r="G191">
        <v>1</v>
      </c>
      <c r="H191" t="s">
        <v>29</v>
      </c>
      <c r="I191" s="2">
        <v>3223.07</v>
      </c>
      <c r="J191" s="2">
        <v>3590.83</v>
      </c>
      <c r="K191" t="s">
        <v>30</v>
      </c>
      <c r="L191" s="5">
        <v>0.19</v>
      </c>
      <c r="M191" t="s">
        <v>27</v>
      </c>
      <c r="N191" t="s">
        <v>22</v>
      </c>
      <c r="O191" t="s">
        <v>50</v>
      </c>
      <c r="P191" s="4">
        <f t="shared" si="4"/>
        <v>2908.5723000000003</v>
      </c>
      <c r="Q191" s="4">
        <f t="shared" si="5"/>
        <v>-314.4976999999999</v>
      </c>
      <c r="R191" t="str">
        <f>IF( Table1[[#This Row],[Total Amount after sale]] &gt; 0,"PROFIT","LOSS")</f>
        <v>LOSS</v>
      </c>
      <c r="S191" s="3">
        <f>(Table1[[#This Row],[Total Amount after sale]]/Table1[[#This Row],[Price after discount]])</f>
        <v>-0.10812786053143664</v>
      </c>
    </row>
    <row r="192" spans="1:19" x14ac:dyDescent="0.3">
      <c r="A192">
        <v>1058</v>
      </c>
      <c r="B192" s="1">
        <v>44990</v>
      </c>
      <c r="C192" s="1">
        <f>DATE(YEAR(Table1[[#This Row],[Sale_Date]]), MONTH(Table1[[#This Row],[Sale_Date]]), 1)</f>
        <v>44986</v>
      </c>
      <c r="D192" t="s">
        <v>38</v>
      </c>
      <c r="E192" t="s">
        <v>15</v>
      </c>
      <c r="F192" s="2">
        <v>252.41</v>
      </c>
      <c r="G192">
        <v>48</v>
      </c>
      <c r="H192" t="s">
        <v>16</v>
      </c>
      <c r="I192" s="2">
        <v>2596.7199999999998</v>
      </c>
      <c r="J192" s="2">
        <v>2715.0499999999902</v>
      </c>
      <c r="K192" t="s">
        <v>17</v>
      </c>
      <c r="L192" s="5">
        <v>0.04</v>
      </c>
      <c r="M192" t="s">
        <v>18</v>
      </c>
      <c r="N192" t="s">
        <v>19</v>
      </c>
      <c r="O192" t="s">
        <v>40</v>
      </c>
      <c r="P192" s="4">
        <f t="shared" si="4"/>
        <v>125109.50399999954</v>
      </c>
      <c r="Q192" s="4">
        <f t="shared" si="5"/>
        <v>466.94399999954476</v>
      </c>
      <c r="R192" t="str">
        <f>IF( Table1[[#This Row],[Total Amount after sale]] &gt; 0,"PROFIT","LOSS")</f>
        <v>PROFIT</v>
      </c>
      <c r="S192" s="3">
        <f>(Table1[[#This Row],[Total Amount after sale]]/Table1[[#This Row],[Price after discount]])</f>
        <v>3.7322824011799013E-3</v>
      </c>
    </row>
    <row r="193" spans="1:19" x14ac:dyDescent="0.3">
      <c r="A193">
        <v>1050</v>
      </c>
      <c r="B193" s="1">
        <v>44990</v>
      </c>
      <c r="C193" s="1">
        <f>DATE(YEAR(Table1[[#This Row],[Sale_Date]]), MONTH(Table1[[#This Row],[Sale_Date]]), 1)</f>
        <v>44986</v>
      </c>
      <c r="D193" t="s">
        <v>14</v>
      </c>
      <c r="E193" t="s">
        <v>15</v>
      </c>
      <c r="F193" s="2">
        <v>9755.9</v>
      </c>
      <c r="G193">
        <v>20</v>
      </c>
      <c r="H193" t="s">
        <v>35</v>
      </c>
      <c r="I193" s="2">
        <v>3318.92</v>
      </c>
      <c r="J193" s="2">
        <v>3785.91</v>
      </c>
      <c r="K193" t="s">
        <v>30</v>
      </c>
      <c r="L193" s="5">
        <v>0.24</v>
      </c>
      <c r="M193" t="s">
        <v>27</v>
      </c>
      <c r="N193" t="s">
        <v>19</v>
      </c>
      <c r="O193" t="s">
        <v>20</v>
      </c>
      <c r="P193" s="4">
        <f t="shared" si="4"/>
        <v>57545.832000000002</v>
      </c>
      <c r="Q193" s="4">
        <f t="shared" si="5"/>
        <v>-8832.5680000000011</v>
      </c>
      <c r="R193" t="str">
        <f>IF( Table1[[#This Row],[Total Amount after sale]] &gt; 0,"PROFIT","LOSS")</f>
        <v>LOSS</v>
      </c>
      <c r="S193" s="3">
        <f>(Table1[[#This Row],[Total Amount after sale]]/Table1[[#This Row],[Price after discount]])</f>
        <v>-0.15348753668206588</v>
      </c>
    </row>
    <row r="194" spans="1:19" x14ac:dyDescent="0.3">
      <c r="A194">
        <v>1024</v>
      </c>
      <c r="B194" s="1">
        <v>44991</v>
      </c>
      <c r="C194" s="1">
        <f>DATE(YEAR(Table1[[#This Row],[Sale_Date]]), MONTH(Table1[[#This Row],[Sale_Date]]), 1)</f>
        <v>44986</v>
      </c>
      <c r="D194" t="s">
        <v>42</v>
      </c>
      <c r="E194" t="s">
        <v>25</v>
      </c>
      <c r="F194" s="2">
        <v>9602.64</v>
      </c>
      <c r="G194">
        <v>35</v>
      </c>
      <c r="H194" t="s">
        <v>35</v>
      </c>
      <c r="I194" s="2">
        <v>1258.53</v>
      </c>
      <c r="J194" s="2">
        <v>1624.8899999999901</v>
      </c>
      <c r="K194" t="s">
        <v>30</v>
      </c>
      <c r="L194" s="5">
        <v>0.08</v>
      </c>
      <c r="M194" t="s">
        <v>31</v>
      </c>
      <c r="N194" t="s">
        <v>19</v>
      </c>
      <c r="O194" t="s">
        <v>43</v>
      </c>
      <c r="P194" s="4">
        <f t="shared" ref="P194:P257" si="6" xml:space="preserve"> J194 * (1 - L194) * G194</f>
        <v>52321.457999999679</v>
      </c>
      <c r="Q194" s="4">
        <f t="shared" ref="Q194:Q257" si="7" xml:space="preserve"> (J194 * (1 - L194) - I194) * G194</f>
        <v>8272.9079999996811</v>
      </c>
      <c r="R194" t="str">
        <f>IF( Table1[[#This Row],[Total Amount after sale]] &gt; 0,"PROFIT","LOSS")</f>
        <v>PROFIT</v>
      </c>
      <c r="S194" s="3">
        <f>(Table1[[#This Row],[Total Amount after sale]]/Table1[[#This Row],[Price after discount]])</f>
        <v>0.15811692403525399</v>
      </c>
    </row>
    <row r="195" spans="1:19" x14ac:dyDescent="0.3">
      <c r="A195">
        <v>1005</v>
      </c>
      <c r="B195" s="1">
        <v>44993</v>
      </c>
      <c r="C195" s="1">
        <f>DATE(YEAR(Table1[[#This Row],[Sale_Date]]), MONTH(Table1[[#This Row],[Sale_Date]]), 1)</f>
        <v>44986</v>
      </c>
      <c r="D195" t="s">
        <v>42</v>
      </c>
      <c r="E195" t="s">
        <v>15</v>
      </c>
      <c r="F195" s="2">
        <v>4426.26</v>
      </c>
      <c r="G195">
        <v>12</v>
      </c>
      <c r="H195" t="s">
        <v>29</v>
      </c>
      <c r="I195" s="2">
        <v>253.29</v>
      </c>
      <c r="J195" s="2">
        <v>683.78</v>
      </c>
      <c r="K195" t="s">
        <v>30</v>
      </c>
      <c r="L195" s="5">
        <v>0.25</v>
      </c>
      <c r="M195" t="s">
        <v>31</v>
      </c>
      <c r="N195" t="s">
        <v>19</v>
      </c>
      <c r="O195" t="s">
        <v>49</v>
      </c>
      <c r="P195" s="4">
        <f t="shared" si="6"/>
        <v>6154.02</v>
      </c>
      <c r="Q195" s="4">
        <f t="shared" si="7"/>
        <v>3114.5400000000009</v>
      </c>
      <c r="R195" t="str">
        <f>IF( Table1[[#This Row],[Total Amount after sale]] &gt; 0,"PROFIT","LOSS")</f>
        <v>PROFIT</v>
      </c>
      <c r="S195" s="3">
        <f>(Table1[[#This Row],[Total Amount after sale]]/Table1[[#This Row],[Price after discount]])</f>
        <v>0.50609845271871079</v>
      </c>
    </row>
    <row r="196" spans="1:19" x14ac:dyDescent="0.3">
      <c r="A196">
        <v>1067</v>
      </c>
      <c r="B196" s="1">
        <v>44993</v>
      </c>
      <c r="C196" s="1">
        <f>DATE(YEAR(Table1[[#This Row],[Sale_Date]]), MONTH(Table1[[#This Row],[Sale_Date]]), 1)</f>
        <v>44986</v>
      </c>
      <c r="D196" t="s">
        <v>14</v>
      </c>
      <c r="E196" t="s">
        <v>34</v>
      </c>
      <c r="F196" s="2">
        <v>7078.22</v>
      </c>
      <c r="G196">
        <v>28</v>
      </c>
      <c r="H196" t="s">
        <v>35</v>
      </c>
      <c r="I196" s="2">
        <v>3489.85</v>
      </c>
      <c r="J196" s="2">
        <v>3842.5499999999902</v>
      </c>
      <c r="K196" t="s">
        <v>30</v>
      </c>
      <c r="L196" s="5">
        <v>0.03</v>
      </c>
      <c r="M196" t="s">
        <v>27</v>
      </c>
      <c r="N196" t="s">
        <v>19</v>
      </c>
      <c r="O196" t="s">
        <v>46</v>
      </c>
      <c r="P196" s="4">
        <f t="shared" si="6"/>
        <v>104363.65799999973</v>
      </c>
      <c r="Q196" s="4">
        <f t="shared" si="7"/>
        <v>6647.8579999997291</v>
      </c>
      <c r="R196" t="str">
        <f>IF( Table1[[#This Row],[Total Amount after sale]] &gt; 0,"PROFIT","LOSS")</f>
        <v>PROFIT</v>
      </c>
      <c r="S196" s="3">
        <f>(Table1[[#This Row],[Total Amount after sale]]/Table1[[#This Row],[Price after discount]])</f>
        <v>6.369897459899064E-2</v>
      </c>
    </row>
    <row r="197" spans="1:19" x14ac:dyDescent="0.3">
      <c r="A197">
        <v>1058</v>
      </c>
      <c r="B197" s="1">
        <v>44994</v>
      </c>
      <c r="C197" s="1">
        <f>DATE(YEAR(Table1[[#This Row],[Sale_Date]]), MONTH(Table1[[#This Row],[Sale_Date]]), 1)</f>
        <v>44986</v>
      </c>
      <c r="D197" t="s">
        <v>38</v>
      </c>
      <c r="E197" t="s">
        <v>25</v>
      </c>
      <c r="F197" s="2">
        <v>3788.08</v>
      </c>
      <c r="G197">
        <v>40</v>
      </c>
      <c r="H197" t="s">
        <v>16</v>
      </c>
      <c r="I197" s="2">
        <v>2249.7600000000002</v>
      </c>
      <c r="J197" s="2">
        <v>2598.4</v>
      </c>
      <c r="K197" t="s">
        <v>17</v>
      </c>
      <c r="L197" s="5">
        <v>0.18</v>
      </c>
      <c r="M197" t="s">
        <v>31</v>
      </c>
      <c r="N197" t="s">
        <v>22</v>
      </c>
      <c r="O197" t="s">
        <v>39</v>
      </c>
      <c r="P197" s="4">
        <f t="shared" si="6"/>
        <v>85227.520000000004</v>
      </c>
      <c r="Q197" s="4">
        <f t="shared" si="7"/>
        <v>-4762.8800000000047</v>
      </c>
      <c r="R197" t="str">
        <f>IF( Table1[[#This Row],[Total Amount after sale]] &gt; 0,"PROFIT","LOSS")</f>
        <v>LOSS</v>
      </c>
      <c r="S197" s="3">
        <f>(Table1[[#This Row],[Total Amount after sale]]/Table1[[#This Row],[Price after discount]])</f>
        <v>-5.5884296527694395E-2</v>
      </c>
    </row>
    <row r="198" spans="1:19" x14ac:dyDescent="0.3">
      <c r="A198">
        <v>1040</v>
      </c>
      <c r="B198" s="1">
        <v>44995</v>
      </c>
      <c r="C198" s="1">
        <f>DATE(YEAR(Table1[[#This Row],[Sale_Date]]), MONTH(Table1[[#This Row],[Sale_Date]]), 1)</f>
        <v>44986</v>
      </c>
      <c r="D198" t="s">
        <v>33</v>
      </c>
      <c r="E198" t="s">
        <v>34</v>
      </c>
      <c r="F198" s="2">
        <v>2331.27</v>
      </c>
      <c r="G198">
        <v>13</v>
      </c>
      <c r="H198" t="s">
        <v>29</v>
      </c>
      <c r="I198" s="2">
        <v>2750.18</v>
      </c>
      <c r="J198" s="2">
        <v>2882.85</v>
      </c>
      <c r="K198" t="s">
        <v>17</v>
      </c>
      <c r="L198" s="5">
        <v>0.24</v>
      </c>
      <c r="M198" t="s">
        <v>31</v>
      </c>
      <c r="N198" t="s">
        <v>19</v>
      </c>
      <c r="O198" t="s">
        <v>36</v>
      </c>
      <c r="P198" s="4">
        <f t="shared" si="6"/>
        <v>28482.557999999997</v>
      </c>
      <c r="Q198" s="4">
        <f t="shared" si="7"/>
        <v>-7269.7819999999992</v>
      </c>
      <c r="R198" t="str">
        <f>IF( Table1[[#This Row],[Total Amount after sale]] &gt; 0,"PROFIT","LOSS")</f>
        <v>LOSS</v>
      </c>
      <c r="S198" s="3">
        <f>(Table1[[#This Row],[Total Amount after sale]]/Table1[[#This Row],[Price after discount]])</f>
        <v>-0.25523627477560124</v>
      </c>
    </row>
    <row r="199" spans="1:19" x14ac:dyDescent="0.3">
      <c r="A199">
        <v>1027</v>
      </c>
      <c r="B199" s="1">
        <v>44995</v>
      </c>
      <c r="C199" s="1">
        <f>DATE(YEAR(Table1[[#This Row],[Sale_Date]]), MONTH(Table1[[#This Row],[Sale_Date]]), 1)</f>
        <v>44986</v>
      </c>
      <c r="D199" t="s">
        <v>38</v>
      </c>
      <c r="E199" t="s">
        <v>25</v>
      </c>
      <c r="F199" s="2">
        <v>3985.34</v>
      </c>
      <c r="G199">
        <v>21</v>
      </c>
      <c r="H199" t="s">
        <v>26</v>
      </c>
      <c r="I199" s="2">
        <v>2511.41</v>
      </c>
      <c r="J199" s="2">
        <v>2848.3999999999901</v>
      </c>
      <c r="K199" t="s">
        <v>17</v>
      </c>
      <c r="L199" s="5">
        <v>0.06</v>
      </c>
      <c r="M199" t="s">
        <v>27</v>
      </c>
      <c r="N199" t="s">
        <v>19</v>
      </c>
      <c r="O199" t="s">
        <v>39</v>
      </c>
      <c r="P199" s="4">
        <f t="shared" si="6"/>
        <v>56227.415999999801</v>
      </c>
      <c r="Q199" s="4">
        <f t="shared" si="7"/>
        <v>3487.8059999998045</v>
      </c>
      <c r="R199" t="str">
        <f>IF( Table1[[#This Row],[Total Amount after sale]] &gt; 0,"PROFIT","LOSS")</f>
        <v>PROFIT</v>
      </c>
      <c r="S199" s="3">
        <f>(Table1[[#This Row],[Total Amount after sale]]/Table1[[#This Row],[Price after discount]])</f>
        <v>6.2030344769886218E-2</v>
      </c>
    </row>
    <row r="200" spans="1:19" x14ac:dyDescent="0.3">
      <c r="A200">
        <v>1040</v>
      </c>
      <c r="B200" s="1">
        <v>44995</v>
      </c>
      <c r="C200" s="1">
        <f>DATE(YEAR(Table1[[#This Row],[Sale_Date]]), MONTH(Table1[[#This Row],[Sale_Date]]), 1)</f>
        <v>44986</v>
      </c>
      <c r="D200" t="s">
        <v>42</v>
      </c>
      <c r="E200" t="s">
        <v>34</v>
      </c>
      <c r="F200" s="2">
        <v>1004.78</v>
      </c>
      <c r="G200">
        <v>42</v>
      </c>
      <c r="H200" t="s">
        <v>35</v>
      </c>
      <c r="I200" s="2">
        <v>4205.29</v>
      </c>
      <c r="J200" s="2">
        <v>4382.3500000000004</v>
      </c>
      <c r="K200" t="s">
        <v>30</v>
      </c>
      <c r="L200" s="5">
        <v>0.25</v>
      </c>
      <c r="M200" t="s">
        <v>18</v>
      </c>
      <c r="N200" t="s">
        <v>22</v>
      </c>
      <c r="O200" t="s">
        <v>52</v>
      </c>
      <c r="P200" s="4">
        <f t="shared" si="6"/>
        <v>138044.02500000002</v>
      </c>
      <c r="Q200" s="4">
        <f t="shared" si="7"/>
        <v>-38578.154999999984</v>
      </c>
      <c r="R200" t="str">
        <f>IF( Table1[[#This Row],[Total Amount after sale]] &gt; 0,"PROFIT","LOSS")</f>
        <v>LOSS</v>
      </c>
      <c r="S200" s="3">
        <f>(Table1[[#This Row],[Total Amount after sale]]/Table1[[#This Row],[Price after discount]])</f>
        <v>-0.27946269315169547</v>
      </c>
    </row>
    <row r="201" spans="1:19" x14ac:dyDescent="0.3">
      <c r="A201">
        <v>1038</v>
      </c>
      <c r="B201" s="1">
        <v>44996</v>
      </c>
      <c r="C201" s="1">
        <f>DATE(YEAR(Table1[[#This Row],[Sale_Date]]), MONTH(Table1[[#This Row],[Sale_Date]]), 1)</f>
        <v>44986</v>
      </c>
      <c r="D201" t="s">
        <v>14</v>
      </c>
      <c r="E201" t="s">
        <v>25</v>
      </c>
      <c r="F201" s="2">
        <v>1452.35</v>
      </c>
      <c r="G201">
        <v>15</v>
      </c>
      <c r="H201" t="s">
        <v>29</v>
      </c>
      <c r="I201" s="2">
        <v>2543.36</v>
      </c>
      <c r="J201" s="2">
        <v>2790.1</v>
      </c>
      <c r="K201" t="s">
        <v>17</v>
      </c>
      <c r="L201" s="5">
        <v>7.0000000000000007E-2</v>
      </c>
      <c r="M201" t="s">
        <v>18</v>
      </c>
      <c r="N201" t="s">
        <v>19</v>
      </c>
      <c r="O201" t="s">
        <v>32</v>
      </c>
      <c r="P201" s="4">
        <f t="shared" si="6"/>
        <v>38921.894999999997</v>
      </c>
      <c r="Q201" s="4">
        <f t="shared" si="7"/>
        <v>771.49499999999307</v>
      </c>
      <c r="R201" t="str">
        <f>IF( Table1[[#This Row],[Total Amount after sale]] &gt; 0,"PROFIT","LOSS")</f>
        <v>PROFIT</v>
      </c>
      <c r="S201" s="3">
        <f>(Table1[[#This Row],[Total Amount after sale]]/Table1[[#This Row],[Price after discount]])</f>
        <v>1.9821619682186417E-2</v>
      </c>
    </row>
    <row r="202" spans="1:19" x14ac:dyDescent="0.3">
      <c r="A202">
        <v>1061</v>
      </c>
      <c r="B202" s="1">
        <v>44998</v>
      </c>
      <c r="C202" s="1">
        <f>DATE(YEAR(Table1[[#This Row],[Sale_Date]]), MONTH(Table1[[#This Row],[Sale_Date]]), 1)</f>
        <v>44986</v>
      </c>
      <c r="D202" t="s">
        <v>14</v>
      </c>
      <c r="E202" t="s">
        <v>25</v>
      </c>
      <c r="F202" s="2">
        <v>6321.42</v>
      </c>
      <c r="G202">
        <v>11</v>
      </c>
      <c r="H202" t="s">
        <v>29</v>
      </c>
      <c r="I202" s="2">
        <v>2594.71</v>
      </c>
      <c r="J202" s="2">
        <v>2769.52</v>
      </c>
      <c r="K202" t="s">
        <v>17</v>
      </c>
      <c r="L202" s="5">
        <v>0.01</v>
      </c>
      <c r="M202" t="s">
        <v>27</v>
      </c>
      <c r="N202" t="s">
        <v>22</v>
      </c>
      <c r="O202" t="s">
        <v>32</v>
      </c>
      <c r="P202" s="4">
        <f t="shared" si="6"/>
        <v>30160.072799999998</v>
      </c>
      <c r="Q202" s="4">
        <f t="shared" si="7"/>
        <v>1618.2627999999982</v>
      </c>
      <c r="R202" t="str">
        <f>IF( Table1[[#This Row],[Total Amount after sale]] &gt; 0,"PROFIT","LOSS")</f>
        <v>PROFIT</v>
      </c>
      <c r="S202" s="3">
        <f>(Table1[[#This Row],[Total Amount after sale]]/Table1[[#This Row],[Price after discount]])</f>
        <v>5.3655798867965537E-2</v>
      </c>
    </row>
    <row r="203" spans="1:19" x14ac:dyDescent="0.3">
      <c r="A203">
        <v>1032</v>
      </c>
      <c r="B203" s="1">
        <v>44998</v>
      </c>
      <c r="C203" s="1">
        <f>DATE(YEAR(Table1[[#This Row],[Sale_Date]]), MONTH(Table1[[#This Row],[Sale_Date]]), 1)</f>
        <v>44986</v>
      </c>
      <c r="D203" t="s">
        <v>42</v>
      </c>
      <c r="E203" t="s">
        <v>15</v>
      </c>
      <c r="F203" s="2">
        <v>5768.81</v>
      </c>
      <c r="G203">
        <v>20</v>
      </c>
      <c r="H203" t="s">
        <v>35</v>
      </c>
      <c r="I203" s="2">
        <v>4741.59</v>
      </c>
      <c r="J203" s="2">
        <v>4975.2299999999996</v>
      </c>
      <c r="K203" t="s">
        <v>30</v>
      </c>
      <c r="L203" s="5">
        <v>0.09</v>
      </c>
      <c r="M203" t="s">
        <v>31</v>
      </c>
      <c r="N203" t="s">
        <v>19</v>
      </c>
      <c r="O203" t="s">
        <v>49</v>
      </c>
      <c r="P203" s="4">
        <f t="shared" si="6"/>
        <v>90549.185999999987</v>
      </c>
      <c r="Q203" s="4">
        <f t="shared" si="7"/>
        <v>-4282.6140000000123</v>
      </c>
      <c r="R203" t="str">
        <f>IF( Table1[[#This Row],[Total Amount after sale]] &gt; 0,"PROFIT","LOSS")</f>
        <v>LOSS</v>
      </c>
      <c r="S203" s="3">
        <f>(Table1[[#This Row],[Total Amount after sale]]/Table1[[#This Row],[Price after discount]])</f>
        <v>-4.7295996675221497E-2</v>
      </c>
    </row>
    <row r="204" spans="1:19" x14ac:dyDescent="0.3">
      <c r="A204">
        <v>1038</v>
      </c>
      <c r="B204" s="1">
        <v>44998</v>
      </c>
      <c r="C204" s="1">
        <f>DATE(YEAR(Table1[[#This Row],[Sale_Date]]), MONTH(Table1[[#This Row],[Sale_Date]]), 1)</f>
        <v>44986</v>
      </c>
      <c r="D204" t="s">
        <v>24</v>
      </c>
      <c r="E204" t="s">
        <v>15</v>
      </c>
      <c r="F204" s="2">
        <v>763.46</v>
      </c>
      <c r="G204">
        <v>9</v>
      </c>
      <c r="H204" t="s">
        <v>29</v>
      </c>
      <c r="I204" s="2">
        <v>400.42</v>
      </c>
      <c r="J204" s="2">
        <v>446.11</v>
      </c>
      <c r="K204" t="s">
        <v>30</v>
      </c>
      <c r="L204" s="5">
        <v>0.01</v>
      </c>
      <c r="M204" t="s">
        <v>27</v>
      </c>
      <c r="N204" t="s">
        <v>22</v>
      </c>
      <c r="O204" t="s">
        <v>45</v>
      </c>
      <c r="P204" s="4">
        <f t="shared" si="6"/>
        <v>3974.8401000000003</v>
      </c>
      <c r="Q204" s="4">
        <f t="shared" si="7"/>
        <v>371.06010000000009</v>
      </c>
      <c r="R204" t="str">
        <f>IF( Table1[[#This Row],[Total Amount after sale]] &gt; 0,"PROFIT","LOSS")</f>
        <v>PROFIT</v>
      </c>
      <c r="S204" s="3">
        <f>(Table1[[#This Row],[Total Amount after sale]]/Table1[[#This Row],[Price after discount]])</f>
        <v>9.3352208054859886E-2</v>
      </c>
    </row>
    <row r="205" spans="1:19" x14ac:dyDescent="0.3">
      <c r="A205">
        <v>1030</v>
      </c>
      <c r="B205" s="1">
        <v>44998</v>
      </c>
      <c r="C205" s="1">
        <f>DATE(YEAR(Table1[[#This Row],[Sale_Date]]), MONTH(Table1[[#This Row],[Sale_Date]]), 1)</f>
        <v>44986</v>
      </c>
      <c r="D205" t="s">
        <v>42</v>
      </c>
      <c r="E205" t="s">
        <v>15</v>
      </c>
      <c r="F205" s="2">
        <v>9385.86</v>
      </c>
      <c r="G205">
        <v>39</v>
      </c>
      <c r="H205" t="s">
        <v>26</v>
      </c>
      <c r="I205" s="2">
        <v>2511.2800000000002</v>
      </c>
      <c r="J205" s="2">
        <v>2658.06</v>
      </c>
      <c r="K205" t="s">
        <v>30</v>
      </c>
      <c r="L205" s="5">
        <v>0.19</v>
      </c>
      <c r="M205" t="s">
        <v>31</v>
      </c>
      <c r="N205" t="s">
        <v>22</v>
      </c>
      <c r="O205" t="s">
        <v>49</v>
      </c>
      <c r="P205" s="4">
        <f t="shared" si="6"/>
        <v>83968.11540000001</v>
      </c>
      <c r="Q205" s="4">
        <f t="shared" si="7"/>
        <v>-13971.804600000003</v>
      </c>
      <c r="R205" t="str">
        <f>IF( Table1[[#This Row],[Total Amount after sale]] &gt; 0,"PROFIT","LOSS")</f>
        <v>LOSS</v>
      </c>
      <c r="S205" s="3">
        <f>(Table1[[#This Row],[Total Amount after sale]]/Table1[[#This Row],[Price after discount]])</f>
        <v>-0.1663941668029863</v>
      </c>
    </row>
    <row r="206" spans="1:19" x14ac:dyDescent="0.3">
      <c r="A206">
        <v>1090</v>
      </c>
      <c r="B206" s="1">
        <v>44999</v>
      </c>
      <c r="C206" s="1">
        <f>DATE(YEAR(Table1[[#This Row],[Sale_Date]]), MONTH(Table1[[#This Row],[Sale_Date]]), 1)</f>
        <v>44986</v>
      </c>
      <c r="D206" t="s">
        <v>24</v>
      </c>
      <c r="E206" t="s">
        <v>34</v>
      </c>
      <c r="F206" s="2">
        <v>6761.43</v>
      </c>
      <c r="G206">
        <v>47</v>
      </c>
      <c r="H206" t="s">
        <v>16</v>
      </c>
      <c r="I206" s="2">
        <v>2310.8200000000002</v>
      </c>
      <c r="J206" s="2">
        <v>2714.71</v>
      </c>
      <c r="K206" t="s">
        <v>30</v>
      </c>
      <c r="L206" s="5">
        <v>0.19</v>
      </c>
      <c r="M206" t="s">
        <v>18</v>
      </c>
      <c r="N206" t="s">
        <v>22</v>
      </c>
      <c r="O206" t="s">
        <v>50</v>
      </c>
      <c r="P206" s="4">
        <f t="shared" si="6"/>
        <v>103349.00970000001</v>
      </c>
      <c r="Q206" s="4">
        <f t="shared" si="7"/>
        <v>-5259.5303000000004</v>
      </c>
      <c r="R206" t="str">
        <f>IF( Table1[[#This Row],[Total Amount after sale]] &gt; 0,"PROFIT","LOSS")</f>
        <v>LOSS</v>
      </c>
      <c r="S206" s="3">
        <f>(Table1[[#This Row],[Total Amount after sale]]/Table1[[#This Row],[Price after discount]])</f>
        <v>-5.0890959819230856E-2</v>
      </c>
    </row>
    <row r="207" spans="1:19" x14ac:dyDescent="0.3">
      <c r="A207">
        <v>1062</v>
      </c>
      <c r="B207" s="1">
        <v>44999</v>
      </c>
      <c r="C207" s="1">
        <f>DATE(YEAR(Table1[[#This Row],[Sale_Date]]), MONTH(Table1[[#This Row],[Sale_Date]]), 1)</f>
        <v>44986</v>
      </c>
      <c r="D207" t="s">
        <v>42</v>
      </c>
      <c r="E207" t="s">
        <v>34</v>
      </c>
      <c r="F207" s="2">
        <v>4178.3900000000003</v>
      </c>
      <c r="G207">
        <v>24</v>
      </c>
      <c r="H207" t="s">
        <v>26</v>
      </c>
      <c r="I207" s="2">
        <v>3018.01</v>
      </c>
      <c r="J207" s="2">
        <v>3418.19</v>
      </c>
      <c r="K207" t="s">
        <v>17</v>
      </c>
      <c r="L207" s="5">
        <v>0.23</v>
      </c>
      <c r="M207" t="s">
        <v>27</v>
      </c>
      <c r="N207" t="s">
        <v>22</v>
      </c>
      <c r="O207" t="s">
        <v>52</v>
      </c>
      <c r="P207" s="4">
        <f t="shared" si="6"/>
        <v>63168.1512</v>
      </c>
      <c r="Q207" s="4">
        <f t="shared" si="7"/>
        <v>-9264.088800000005</v>
      </c>
      <c r="R207" t="str">
        <f>IF( Table1[[#This Row],[Total Amount after sale]] &gt; 0,"PROFIT","LOSS")</f>
        <v>LOSS</v>
      </c>
      <c r="S207" s="3">
        <f>(Table1[[#This Row],[Total Amount after sale]]/Table1[[#This Row],[Price after discount]])</f>
        <v>-0.14665758968738038</v>
      </c>
    </row>
    <row r="208" spans="1:19" x14ac:dyDescent="0.3">
      <c r="A208">
        <v>1021</v>
      </c>
      <c r="B208" s="1">
        <v>44999</v>
      </c>
      <c r="C208" s="1">
        <f>DATE(YEAR(Table1[[#This Row],[Sale_Date]]), MONTH(Table1[[#This Row],[Sale_Date]]), 1)</f>
        <v>44986</v>
      </c>
      <c r="D208" t="s">
        <v>24</v>
      </c>
      <c r="E208" t="s">
        <v>25</v>
      </c>
      <c r="F208" s="2">
        <v>7792.79</v>
      </c>
      <c r="G208">
        <v>23</v>
      </c>
      <c r="H208" t="s">
        <v>26</v>
      </c>
      <c r="I208" s="2">
        <v>580.75</v>
      </c>
      <c r="J208" s="2">
        <v>956.16</v>
      </c>
      <c r="K208" t="s">
        <v>17</v>
      </c>
      <c r="L208" s="5">
        <v>7.0000000000000007E-2</v>
      </c>
      <c r="M208" t="s">
        <v>18</v>
      </c>
      <c r="N208" t="s">
        <v>22</v>
      </c>
      <c r="O208" t="s">
        <v>28</v>
      </c>
      <c r="P208" s="4">
        <f t="shared" si="6"/>
        <v>20452.262399999996</v>
      </c>
      <c r="Q208" s="4">
        <f t="shared" si="7"/>
        <v>7095.0123999999969</v>
      </c>
      <c r="R208" t="str">
        <f>IF( Table1[[#This Row],[Total Amount after sale]] &gt; 0,"PROFIT","LOSS")</f>
        <v>PROFIT</v>
      </c>
      <c r="S208" s="3">
        <f>(Table1[[#This Row],[Total Amount after sale]]/Table1[[#This Row],[Price after discount]])</f>
        <v>0.34690599314822002</v>
      </c>
    </row>
    <row r="209" spans="1:19" x14ac:dyDescent="0.3">
      <c r="A209">
        <v>1060</v>
      </c>
      <c r="B209" s="1">
        <v>45000</v>
      </c>
      <c r="C209" s="1">
        <f>DATE(YEAR(Table1[[#This Row],[Sale_Date]]), MONTH(Table1[[#This Row],[Sale_Date]]), 1)</f>
        <v>44986</v>
      </c>
      <c r="D209" t="s">
        <v>24</v>
      </c>
      <c r="E209" t="s">
        <v>25</v>
      </c>
      <c r="F209" s="2">
        <v>8594.43</v>
      </c>
      <c r="G209">
        <v>44</v>
      </c>
      <c r="H209" t="s">
        <v>29</v>
      </c>
      <c r="I209" s="2">
        <v>2211.9499999999998</v>
      </c>
      <c r="J209" s="2">
        <v>2512.8399999999901</v>
      </c>
      <c r="K209" t="s">
        <v>17</v>
      </c>
      <c r="L209" s="5">
        <v>0.04</v>
      </c>
      <c r="M209" t="s">
        <v>18</v>
      </c>
      <c r="N209" t="s">
        <v>19</v>
      </c>
      <c r="O209" t="s">
        <v>28</v>
      </c>
      <c r="P209" s="4">
        <f t="shared" si="6"/>
        <v>106142.36159999958</v>
      </c>
      <c r="Q209" s="4">
        <f t="shared" si="7"/>
        <v>8816.5615999995844</v>
      </c>
      <c r="R209" t="str">
        <f>IF( Table1[[#This Row],[Total Amount after sale]] &gt; 0,"PROFIT","LOSS")</f>
        <v>PROFIT</v>
      </c>
      <c r="S209" s="3">
        <f>(Table1[[#This Row],[Total Amount after sale]]/Table1[[#This Row],[Price after discount]])</f>
        <v>8.306355226224417E-2</v>
      </c>
    </row>
    <row r="210" spans="1:19" x14ac:dyDescent="0.3">
      <c r="A210">
        <v>1062</v>
      </c>
      <c r="B210" s="1">
        <v>45001</v>
      </c>
      <c r="C210" s="1">
        <f>DATE(YEAR(Table1[[#This Row],[Sale_Date]]), MONTH(Table1[[#This Row],[Sale_Date]]), 1)</f>
        <v>44986</v>
      </c>
      <c r="D210" t="s">
        <v>24</v>
      </c>
      <c r="E210" t="s">
        <v>21</v>
      </c>
      <c r="F210" s="2">
        <v>4195.0600000000004</v>
      </c>
      <c r="G210">
        <v>45</v>
      </c>
      <c r="H210" t="s">
        <v>16</v>
      </c>
      <c r="I210" s="2">
        <v>4849.6000000000004</v>
      </c>
      <c r="J210" s="2">
        <v>5166.72</v>
      </c>
      <c r="K210" t="s">
        <v>17</v>
      </c>
      <c r="L210" s="5">
        <v>0.25</v>
      </c>
      <c r="M210" t="s">
        <v>31</v>
      </c>
      <c r="N210" t="s">
        <v>19</v>
      </c>
      <c r="O210" t="s">
        <v>47</v>
      </c>
      <c r="P210" s="4">
        <f t="shared" si="6"/>
        <v>174376.8</v>
      </c>
      <c r="Q210" s="4">
        <f t="shared" si="7"/>
        <v>-43855.200000000019</v>
      </c>
      <c r="R210" t="str">
        <f>IF( Table1[[#This Row],[Total Amount after sale]] &gt; 0,"PROFIT","LOSS")</f>
        <v>LOSS</v>
      </c>
      <c r="S210" s="3">
        <f>(Table1[[#This Row],[Total Amount after sale]]/Table1[[#This Row],[Price after discount]])</f>
        <v>-0.25149675874313571</v>
      </c>
    </row>
    <row r="211" spans="1:19" x14ac:dyDescent="0.3">
      <c r="A211">
        <v>1097</v>
      </c>
      <c r="B211" s="1">
        <v>45001</v>
      </c>
      <c r="C211" s="1">
        <f>DATE(YEAR(Table1[[#This Row],[Sale_Date]]), MONTH(Table1[[#This Row],[Sale_Date]]), 1)</f>
        <v>44986</v>
      </c>
      <c r="D211" t="s">
        <v>24</v>
      </c>
      <c r="E211" t="s">
        <v>25</v>
      </c>
      <c r="F211" s="2">
        <v>471.95</v>
      </c>
      <c r="G211">
        <v>35</v>
      </c>
      <c r="H211" t="s">
        <v>26</v>
      </c>
      <c r="I211" s="2">
        <v>1958.49</v>
      </c>
      <c r="J211" s="2">
        <v>2254.84</v>
      </c>
      <c r="K211" t="s">
        <v>30</v>
      </c>
      <c r="L211" s="5">
        <v>0.16</v>
      </c>
      <c r="M211" t="s">
        <v>31</v>
      </c>
      <c r="N211" t="s">
        <v>19</v>
      </c>
      <c r="O211" t="s">
        <v>28</v>
      </c>
      <c r="P211" s="4">
        <f t="shared" si="6"/>
        <v>66292.296000000002</v>
      </c>
      <c r="Q211" s="4">
        <f t="shared" si="7"/>
        <v>-2254.8539999999957</v>
      </c>
      <c r="R211" t="str">
        <f>IF( Table1[[#This Row],[Total Amount after sale]] &gt; 0,"PROFIT","LOSS")</f>
        <v>LOSS</v>
      </c>
      <c r="S211" s="3">
        <f>(Table1[[#This Row],[Total Amount after sale]]/Table1[[#This Row],[Price after discount]])</f>
        <v>-3.401381662810405E-2</v>
      </c>
    </row>
    <row r="212" spans="1:19" x14ac:dyDescent="0.3">
      <c r="A212">
        <v>1039</v>
      </c>
      <c r="B212" s="1">
        <v>45001</v>
      </c>
      <c r="C212" s="1">
        <f>DATE(YEAR(Table1[[#This Row],[Sale_Date]]), MONTH(Table1[[#This Row],[Sale_Date]]), 1)</f>
        <v>44986</v>
      </c>
      <c r="D212" t="s">
        <v>38</v>
      </c>
      <c r="E212" t="s">
        <v>15</v>
      </c>
      <c r="F212" s="2">
        <v>6076.01</v>
      </c>
      <c r="G212">
        <v>35</v>
      </c>
      <c r="H212" t="s">
        <v>16</v>
      </c>
      <c r="I212" s="2">
        <v>2735.74</v>
      </c>
      <c r="J212" s="2">
        <v>3181.22999999999</v>
      </c>
      <c r="K212" t="s">
        <v>30</v>
      </c>
      <c r="L212" s="5">
        <v>0.1</v>
      </c>
      <c r="M212" t="s">
        <v>31</v>
      </c>
      <c r="N212" t="s">
        <v>22</v>
      </c>
      <c r="O212" t="s">
        <v>40</v>
      </c>
      <c r="P212" s="4">
        <f t="shared" si="6"/>
        <v>100208.74499999968</v>
      </c>
      <c r="Q212" s="4">
        <f t="shared" si="7"/>
        <v>4457.8449999996883</v>
      </c>
      <c r="R212" t="str">
        <f>IF( Table1[[#This Row],[Total Amount after sale]] &gt; 0,"PROFIT","LOSS")</f>
        <v>PROFIT</v>
      </c>
      <c r="S212" s="3">
        <f>(Table1[[#This Row],[Total Amount after sale]]/Table1[[#This Row],[Price after discount]])</f>
        <v>4.4485588558161294E-2</v>
      </c>
    </row>
    <row r="213" spans="1:19" x14ac:dyDescent="0.3">
      <c r="A213">
        <v>1098</v>
      </c>
      <c r="B213" s="1">
        <v>45001</v>
      </c>
      <c r="C213" s="1">
        <f>DATE(YEAR(Table1[[#This Row],[Sale_Date]]), MONTH(Table1[[#This Row],[Sale_Date]]), 1)</f>
        <v>44986</v>
      </c>
      <c r="D213" t="s">
        <v>24</v>
      </c>
      <c r="E213" t="s">
        <v>25</v>
      </c>
      <c r="F213" s="2">
        <v>6780.38</v>
      </c>
      <c r="G213">
        <v>11</v>
      </c>
      <c r="H213" t="s">
        <v>16</v>
      </c>
      <c r="I213" s="2">
        <v>741.48</v>
      </c>
      <c r="J213" s="2">
        <v>878.09</v>
      </c>
      <c r="K213" t="s">
        <v>30</v>
      </c>
      <c r="L213" s="5">
        <v>0.28999999999999998</v>
      </c>
      <c r="M213" t="s">
        <v>18</v>
      </c>
      <c r="N213" t="s">
        <v>22</v>
      </c>
      <c r="O213" t="s">
        <v>28</v>
      </c>
      <c r="P213" s="4">
        <f t="shared" si="6"/>
        <v>6857.8828999999996</v>
      </c>
      <c r="Q213" s="4">
        <f t="shared" si="7"/>
        <v>-1298.3971000000004</v>
      </c>
      <c r="R213" t="str">
        <f>IF( Table1[[#This Row],[Total Amount after sale]] &gt; 0,"PROFIT","LOSS")</f>
        <v>LOSS</v>
      </c>
      <c r="S213" s="3">
        <f>(Table1[[#This Row],[Total Amount after sale]]/Table1[[#This Row],[Price after discount]])</f>
        <v>-0.18932914412988888</v>
      </c>
    </row>
    <row r="214" spans="1:19" x14ac:dyDescent="0.3">
      <c r="A214">
        <v>1024</v>
      </c>
      <c r="B214" s="1">
        <v>45002</v>
      </c>
      <c r="C214" s="1">
        <f>DATE(YEAR(Table1[[#This Row],[Sale_Date]]), MONTH(Table1[[#This Row],[Sale_Date]]), 1)</f>
        <v>44986</v>
      </c>
      <c r="D214" t="s">
        <v>38</v>
      </c>
      <c r="E214" t="s">
        <v>25</v>
      </c>
      <c r="F214" s="2">
        <v>5825.15</v>
      </c>
      <c r="G214">
        <v>46</v>
      </c>
      <c r="H214" t="s">
        <v>35</v>
      </c>
      <c r="I214" s="2">
        <v>2016.49</v>
      </c>
      <c r="J214" s="2">
        <v>2338.66</v>
      </c>
      <c r="K214" t="s">
        <v>17</v>
      </c>
      <c r="L214" s="5">
        <v>0.19</v>
      </c>
      <c r="M214" t="s">
        <v>27</v>
      </c>
      <c r="N214" t="s">
        <v>22</v>
      </c>
      <c r="O214" t="s">
        <v>39</v>
      </c>
      <c r="P214" s="4">
        <f t="shared" si="6"/>
        <v>87138.47159999999</v>
      </c>
      <c r="Q214" s="4">
        <f t="shared" si="7"/>
        <v>-5620.0684000000037</v>
      </c>
      <c r="R214" t="str">
        <f>IF( Table1[[#This Row],[Total Amount after sale]] &gt; 0,"PROFIT","LOSS")</f>
        <v>LOSS</v>
      </c>
      <c r="S214" s="3">
        <f>(Table1[[#This Row],[Total Amount after sale]]/Table1[[#This Row],[Price after discount]])</f>
        <v>-6.4495834007719785E-2</v>
      </c>
    </row>
    <row r="215" spans="1:19" x14ac:dyDescent="0.3">
      <c r="A215">
        <v>1036</v>
      </c>
      <c r="B215" s="1">
        <v>45002</v>
      </c>
      <c r="C215" s="1">
        <f>DATE(YEAR(Table1[[#This Row],[Sale_Date]]), MONTH(Table1[[#This Row],[Sale_Date]]), 1)</f>
        <v>44986</v>
      </c>
      <c r="D215" t="s">
        <v>42</v>
      </c>
      <c r="E215" t="s">
        <v>34</v>
      </c>
      <c r="F215" s="2">
        <v>2583.84</v>
      </c>
      <c r="G215">
        <v>23</v>
      </c>
      <c r="H215" t="s">
        <v>26</v>
      </c>
      <c r="I215" s="2">
        <v>3335.53</v>
      </c>
      <c r="J215" s="2">
        <v>3742.12</v>
      </c>
      <c r="K215" t="s">
        <v>30</v>
      </c>
      <c r="L215" s="5">
        <v>0.03</v>
      </c>
      <c r="M215" t="s">
        <v>27</v>
      </c>
      <c r="N215" t="s">
        <v>22</v>
      </c>
      <c r="O215" t="s">
        <v>52</v>
      </c>
      <c r="P215" s="4">
        <f t="shared" si="6"/>
        <v>83486.697199999995</v>
      </c>
      <c r="Q215" s="4">
        <f t="shared" si="7"/>
        <v>6769.5071999999873</v>
      </c>
      <c r="R215" t="str">
        <f>IF( Table1[[#This Row],[Total Amount after sale]] &gt; 0,"PROFIT","LOSS")</f>
        <v>PROFIT</v>
      </c>
      <c r="S215" s="3">
        <f>(Table1[[#This Row],[Total Amount after sale]]/Table1[[#This Row],[Price after discount]])</f>
        <v>8.1084860547100276E-2</v>
      </c>
    </row>
    <row r="216" spans="1:19" x14ac:dyDescent="0.3">
      <c r="A216">
        <v>1017</v>
      </c>
      <c r="B216" s="1">
        <v>45002</v>
      </c>
      <c r="C216" s="1">
        <f>DATE(YEAR(Table1[[#This Row],[Sale_Date]]), MONTH(Table1[[#This Row],[Sale_Date]]), 1)</f>
        <v>44986</v>
      </c>
      <c r="D216" t="s">
        <v>14</v>
      </c>
      <c r="E216" t="s">
        <v>15</v>
      </c>
      <c r="F216" s="2">
        <v>2401.81</v>
      </c>
      <c r="G216">
        <v>28</v>
      </c>
      <c r="H216" t="s">
        <v>29</v>
      </c>
      <c r="I216" s="2">
        <v>3780.91</v>
      </c>
      <c r="J216" s="2">
        <v>3892.73</v>
      </c>
      <c r="K216" t="s">
        <v>17</v>
      </c>
      <c r="L216" s="5">
        <v>0.1</v>
      </c>
      <c r="M216" t="s">
        <v>18</v>
      </c>
      <c r="N216" t="s">
        <v>22</v>
      </c>
      <c r="O216" t="s">
        <v>20</v>
      </c>
      <c r="P216" s="4">
        <f t="shared" si="6"/>
        <v>98096.796000000002</v>
      </c>
      <c r="Q216" s="4">
        <f t="shared" si="7"/>
        <v>-7768.6839999999993</v>
      </c>
      <c r="R216" t="str">
        <f>IF( Table1[[#This Row],[Total Amount after sale]] &gt; 0,"PROFIT","LOSS")</f>
        <v>LOSS</v>
      </c>
      <c r="S216" s="3">
        <f>(Table1[[#This Row],[Total Amount after sale]]/Table1[[#This Row],[Price after discount]])</f>
        <v>-7.9194064605331238E-2</v>
      </c>
    </row>
    <row r="217" spans="1:19" x14ac:dyDescent="0.3">
      <c r="A217">
        <v>1016</v>
      </c>
      <c r="B217" s="1">
        <v>45003</v>
      </c>
      <c r="C217" s="1">
        <f>DATE(YEAR(Table1[[#This Row],[Sale_Date]]), MONTH(Table1[[#This Row],[Sale_Date]]), 1)</f>
        <v>44986</v>
      </c>
      <c r="D217" t="s">
        <v>24</v>
      </c>
      <c r="E217" t="s">
        <v>25</v>
      </c>
      <c r="F217" s="2">
        <v>485.9</v>
      </c>
      <c r="G217">
        <v>4</v>
      </c>
      <c r="H217" t="s">
        <v>26</v>
      </c>
      <c r="I217" s="2">
        <v>688.98</v>
      </c>
      <c r="J217" s="2">
        <v>863.81</v>
      </c>
      <c r="K217" t="s">
        <v>30</v>
      </c>
      <c r="L217" s="5">
        <v>0.27</v>
      </c>
      <c r="M217" t="s">
        <v>31</v>
      </c>
      <c r="N217" t="s">
        <v>22</v>
      </c>
      <c r="O217" t="s">
        <v>28</v>
      </c>
      <c r="P217" s="4">
        <f t="shared" si="6"/>
        <v>2522.3251999999998</v>
      </c>
      <c r="Q217" s="4">
        <f t="shared" si="7"/>
        <v>-233.5948000000003</v>
      </c>
      <c r="R217" t="str">
        <f>IF( Table1[[#This Row],[Total Amount after sale]] &gt; 0,"PROFIT","LOSS")</f>
        <v>LOSS</v>
      </c>
      <c r="S217" s="3">
        <f>(Table1[[#This Row],[Total Amount after sale]]/Table1[[#This Row],[Price after discount]])</f>
        <v>-9.2610897278431956E-2</v>
      </c>
    </row>
    <row r="218" spans="1:19" x14ac:dyDescent="0.3">
      <c r="A218">
        <v>1095</v>
      </c>
      <c r="B218" s="1">
        <v>45003</v>
      </c>
      <c r="C218" s="1">
        <f>DATE(YEAR(Table1[[#This Row],[Sale_Date]]), MONTH(Table1[[#This Row],[Sale_Date]]), 1)</f>
        <v>44986</v>
      </c>
      <c r="D218" t="s">
        <v>38</v>
      </c>
      <c r="E218" t="s">
        <v>25</v>
      </c>
      <c r="F218" s="2">
        <v>8057.67</v>
      </c>
      <c r="G218">
        <v>43</v>
      </c>
      <c r="H218" t="s">
        <v>16</v>
      </c>
      <c r="I218" s="2">
        <v>1331.86</v>
      </c>
      <c r="J218" s="2">
        <v>1758.98</v>
      </c>
      <c r="K218" t="s">
        <v>17</v>
      </c>
      <c r="L218" s="5">
        <v>0.23</v>
      </c>
      <c r="M218" t="s">
        <v>27</v>
      </c>
      <c r="N218" t="s">
        <v>22</v>
      </c>
      <c r="O218" t="s">
        <v>39</v>
      </c>
      <c r="P218" s="4">
        <f t="shared" si="6"/>
        <v>58239.827799999999</v>
      </c>
      <c r="Q218" s="4">
        <f t="shared" si="7"/>
        <v>969.84780000000706</v>
      </c>
      <c r="R218" t="str">
        <f>IF( Table1[[#This Row],[Total Amount after sale]] &gt; 0,"PROFIT","LOSS")</f>
        <v>PROFIT</v>
      </c>
      <c r="S218" s="3">
        <f>(Table1[[#This Row],[Total Amount after sale]]/Table1[[#This Row],[Price after discount]])</f>
        <v>1.6652655693463556E-2</v>
      </c>
    </row>
    <row r="219" spans="1:19" x14ac:dyDescent="0.3">
      <c r="A219">
        <v>1035</v>
      </c>
      <c r="B219" s="1">
        <v>45004</v>
      </c>
      <c r="C219" s="1">
        <f>DATE(YEAR(Table1[[#This Row],[Sale_Date]]), MONTH(Table1[[#This Row],[Sale_Date]]), 1)</f>
        <v>44986</v>
      </c>
      <c r="D219" t="s">
        <v>14</v>
      </c>
      <c r="E219" t="s">
        <v>25</v>
      </c>
      <c r="F219" s="2">
        <v>5343.63</v>
      </c>
      <c r="G219">
        <v>9</v>
      </c>
      <c r="H219" t="s">
        <v>29</v>
      </c>
      <c r="I219" s="2">
        <v>2534.94</v>
      </c>
      <c r="J219" s="2">
        <v>2755.56</v>
      </c>
      <c r="K219" t="s">
        <v>17</v>
      </c>
      <c r="L219" s="5">
        <v>0.13</v>
      </c>
      <c r="M219" t="s">
        <v>31</v>
      </c>
      <c r="N219" t="s">
        <v>22</v>
      </c>
      <c r="O219" t="s">
        <v>32</v>
      </c>
      <c r="P219" s="4">
        <f t="shared" si="6"/>
        <v>21576.034800000001</v>
      </c>
      <c r="Q219" s="4">
        <f t="shared" si="7"/>
        <v>-1238.425200000001</v>
      </c>
      <c r="R219" t="str">
        <f>IF( Table1[[#This Row],[Total Amount after sale]] &gt; 0,"PROFIT","LOSS")</f>
        <v>LOSS</v>
      </c>
      <c r="S219" s="3">
        <f>(Table1[[#This Row],[Total Amount after sale]]/Table1[[#This Row],[Price after discount]])</f>
        <v>-5.7398183284354039E-2</v>
      </c>
    </row>
    <row r="220" spans="1:19" x14ac:dyDescent="0.3">
      <c r="A220">
        <v>1020</v>
      </c>
      <c r="B220" s="1">
        <v>45004</v>
      </c>
      <c r="C220" s="1">
        <f>DATE(YEAR(Table1[[#This Row],[Sale_Date]]), MONTH(Table1[[#This Row],[Sale_Date]]), 1)</f>
        <v>44986</v>
      </c>
      <c r="D220" t="s">
        <v>38</v>
      </c>
      <c r="E220" t="s">
        <v>21</v>
      </c>
      <c r="F220" s="2">
        <v>9335.9599999999991</v>
      </c>
      <c r="G220">
        <v>19</v>
      </c>
      <c r="H220" t="s">
        <v>26</v>
      </c>
      <c r="I220" s="2">
        <v>1783.48</v>
      </c>
      <c r="J220" s="2">
        <v>1931.56</v>
      </c>
      <c r="K220" t="s">
        <v>17</v>
      </c>
      <c r="L220" s="5">
        <v>0.27</v>
      </c>
      <c r="M220" t="s">
        <v>27</v>
      </c>
      <c r="N220" t="s">
        <v>22</v>
      </c>
      <c r="O220" t="s">
        <v>41</v>
      </c>
      <c r="P220" s="4">
        <f t="shared" si="6"/>
        <v>26790.7372</v>
      </c>
      <c r="Q220" s="4">
        <f t="shared" si="7"/>
        <v>-7095.3827999999994</v>
      </c>
      <c r="R220" t="str">
        <f>IF( Table1[[#This Row],[Total Amount after sale]] &gt; 0,"PROFIT","LOSS")</f>
        <v>LOSS</v>
      </c>
      <c r="S220" s="3">
        <f>(Table1[[#This Row],[Total Amount after sale]]/Table1[[#This Row],[Price after discount]])</f>
        <v>-0.26484462697054861</v>
      </c>
    </row>
    <row r="221" spans="1:19" x14ac:dyDescent="0.3">
      <c r="A221">
        <v>1030</v>
      </c>
      <c r="B221" s="1">
        <v>45004</v>
      </c>
      <c r="C221" s="1">
        <f>DATE(YEAR(Table1[[#This Row],[Sale_Date]]), MONTH(Table1[[#This Row],[Sale_Date]]), 1)</f>
        <v>44986</v>
      </c>
      <c r="D221" t="s">
        <v>24</v>
      </c>
      <c r="E221" t="s">
        <v>34</v>
      </c>
      <c r="F221" s="2">
        <v>1874.63</v>
      </c>
      <c r="G221">
        <v>2</v>
      </c>
      <c r="H221" t="s">
        <v>29</v>
      </c>
      <c r="I221" s="2">
        <v>844.94</v>
      </c>
      <c r="J221" s="2">
        <v>1225.6400000000001</v>
      </c>
      <c r="K221" t="s">
        <v>17</v>
      </c>
      <c r="L221" s="5">
        <v>0.23</v>
      </c>
      <c r="M221" t="s">
        <v>31</v>
      </c>
      <c r="N221" t="s">
        <v>19</v>
      </c>
      <c r="O221" t="s">
        <v>50</v>
      </c>
      <c r="P221" s="4">
        <f t="shared" si="6"/>
        <v>1887.4856000000002</v>
      </c>
      <c r="Q221" s="4">
        <f t="shared" si="7"/>
        <v>197.60560000000009</v>
      </c>
      <c r="R221" t="str">
        <f>IF( Table1[[#This Row],[Total Amount after sale]] &gt; 0,"PROFIT","LOSS")</f>
        <v>PROFIT</v>
      </c>
      <c r="S221" s="3">
        <f>(Table1[[#This Row],[Total Amount after sale]]/Table1[[#This Row],[Price after discount]])</f>
        <v>0.10469250732296981</v>
      </c>
    </row>
    <row r="222" spans="1:19" x14ac:dyDescent="0.3">
      <c r="A222">
        <v>1011</v>
      </c>
      <c r="B222" s="1">
        <v>45005</v>
      </c>
      <c r="C222" s="1">
        <f>DATE(YEAR(Table1[[#This Row],[Sale_Date]]), MONTH(Table1[[#This Row],[Sale_Date]]), 1)</f>
        <v>44986</v>
      </c>
      <c r="D222" t="s">
        <v>14</v>
      </c>
      <c r="E222" t="s">
        <v>34</v>
      </c>
      <c r="F222" s="2">
        <v>3484.86</v>
      </c>
      <c r="G222">
        <v>2</v>
      </c>
      <c r="H222" t="s">
        <v>16</v>
      </c>
      <c r="I222" s="2">
        <v>4906.17</v>
      </c>
      <c r="J222" s="2">
        <v>5107.43</v>
      </c>
      <c r="K222" t="s">
        <v>17</v>
      </c>
      <c r="L222" s="5">
        <v>0.1</v>
      </c>
      <c r="M222" t="s">
        <v>18</v>
      </c>
      <c r="N222" t="s">
        <v>19</v>
      </c>
      <c r="O222" t="s">
        <v>46</v>
      </c>
      <c r="P222" s="4">
        <f t="shared" si="6"/>
        <v>9193.3740000000016</v>
      </c>
      <c r="Q222" s="4">
        <f t="shared" si="7"/>
        <v>-618.96599999999853</v>
      </c>
      <c r="R222" t="str">
        <f>IF( Table1[[#This Row],[Total Amount after sale]] &gt; 0,"PROFIT","LOSS")</f>
        <v>LOSS</v>
      </c>
      <c r="S222" s="3">
        <f>(Table1[[#This Row],[Total Amount after sale]]/Table1[[#This Row],[Price after discount]])</f>
        <v>-6.7327403410325573E-2</v>
      </c>
    </row>
    <row r="223" spans="1:19" x14ac:dyDescent="0.3">
      <c r="A223">
        <v>1026</v>
      </c>
      <c r="B223" s="1">
        <v>45005</v>
      </c>
      <c r="C223" s="1">
        <f>DATE(YEAR(Table1[[#This Row],[Sale_Date]]), MONTH(Table1[[#This Row],[Sale_Date]]), 1)</f>
        <v>44986</v>
      </c>
      <c r="D223" t="s">
        <v>14</v>
      </c>
      <c r="E223" t="s">
        <v>34</v>
      </c>
      <c r="F223" s="2">
        <v>614.69000000000005</v>
      </c>
      <c r="G223">
        <v>19</v>
      </c>
      <c r="H223" t="s">
        <v>35</v>
      </c>
      <c r="I223" s="2">
        <v>4991.68</v>
      </c>
      <c r="J223" s="2">
        <v>5296.65</v>
      </c>
      <c r="K223" t="s">
        <v>30</v>
      </c>
      <c r="L223" s="5">
        <v>0.12</v>
      </c>
      <c r="M223" t="s">
        <v>27</v>
      </c>
      <c r="N223" t="s">
        <v>19</v>
      </c>
      <c r="O223" t="s">
        <v>46</v>
      </c>
      <c r="P223" s="4">
        <f t="shared" si="6"/>
        <v>88559.987999999998</v>
      </c>
      <c r="Q223" s="4">
        <f t="shared" si="7"/>
        <v>-6281.9320000000116</v>
      </c>
      <c r="R223" t="str">
        <f>IF( Table1[[#This Row],[Total Amount after sale]] &gt; 0,"PROFIT","LOSS")</f>
        <v>LOSS</v>
      </c>
      <c r="S223" s="3">
        <f>(Table1[[#This Row],[Total Amount after sale]]/Table1[[#This Row],[Price after discount]])</f>
        <v>-7.0934201120262261E-2</v>
      </c>
    </row>
    <row r="224" spans="1:19" x14ac:dyDescent="0.3">
      <c r="A224">
        <v>1069</v>
      </c>
      <c r="B224" s="1">
        <v>45006</v>
      </c>
      <c r="C224" s="1">
        <f>DATE(YEAR(Table1[[#This Row],[Sale_Date]]), MONTH(Table1[[#This Row],[Sale_Date]]), 1)</f>
        <v>44986</v>
      </c>
      <c r="D224" t="s">
        <v>14</v>
      </c>
      <c r="E224" t="s">
        <v>34</v>
      </c>
      <c r="F224" s="2">
        <v>9369.18</v>
      </c>
      <c r="G224">
        <v>29</v>
      </c>
      <c r="H224" t="s">
        <v>16</v>
      </c>
      <c r="I224" s="2">
        <v>2462.66</v>
      </c>
      <c r="J224" s="2">
        <v>2908.0899999999901</v>
      </c>
      <c r="K224" t="s">
        <v>30</v>
      </c>
      <c r="L224" s="5">
        <v>0.12</v>
      </c>
      <c r="M224" t="s">
        <v>31</v>
      </c>
      <c r="N224" t="s">
        <v>19</v>
      </c>
      <c r="O224" t="s">
        <v>46</v>
      </c>
      <c r="P224" s="4">
        <f t="shared" si="6"/>
        <v>74214.456799999753</v>
      </c>
      <c r="Q224" s="4">
        <f t="shared" si="7"/>
        <v>2797.3167999997563</v>
      </c>
      <c r="R224" t="str">
        <f>IF( Table1[[#This Row],[Total Amount after sale]] &gt; 0,"PROFIT","LOSS")</f>
        <v>PROFIT</v>
      </c>
      <c r="S224" s="3">
        <f>(Table1[[#This Row],[Total Amount after sale]]/Table1[[#This Row],[Price after discount]])</f>
        <v>3.7692343521939863E-2</v>
      </c>
    </row>
    <row r="225" spans="1:19" x14ac:dyDescent="0.3">
      <c r="A225">
        <v>1084</v>
      </c>
      <c r="B225" s="1">
        <v>45006</v>
      </c>
      <c r="C225" s="1">
        <f>DATE(YEAR(Table1[[#This Row],[Sale_Date]]), MONTH(Table1[[#This Row],[Sale_Date]]), 1)</f>
        <v>44986</v>
      </c>
      <c r="D225" t="s">
        <v>38</v>
      </c>
      <c r="E225" t="s">
        <v>25</v>
      </c>
      <c r="F225" s="2">
        <v>3617.67</v>
      </c>
      <c r="G225">
        <v>40</v>
      </c>
      <c r="H225" t="s">
        <v>26</v>
      </c>
      <c r="I225" s="2">
        <v>2890.95</v>
      </c>
      <c r="J225" s="2">
        <v>3104.43</v>
      </c>
      <c r="K225" t="s">
        <v>30</v>
      </c>
      <c r="L225" s="5">
        <v>0.21</v>
      </c>
      <c r="M225" t="s">
        <v>27</v>
      </c>
      <c r="N225" t="s">
        <v>19</v>
      </c>
      <c r="O225" t="s">
        <v>39</v>
      </c>
      <c r="P225" s="4">
        <f t="shared" si="6"/>
        <v>98099.987999999998</v>
      </c>
      <c r="Q225" s="4">
        <f t="shared" si="7"/>
        <v>-17538.011999999999</v>
      </c>
      <c r="R225" t="str">
        <f>IF( Table1[[#This Row],[Total Amount after sale]] &gt; 0,"PROFIT","LOSS")</f>
        <v>LOSS</v>
      </c>
      <c r="S225" s="3">
        <f>(Table1[[#This Row],[Total Amount after sale]]/Table1[[#This Row],[Price after discount]])</f>
        <v>-0.1787769026026792</v>
      </c>
    </row>
    <row r="226" spans="1:19" x14ac:dyDescent="0.3">
      <c r="A226">
        <v>1097</v>
      </c>
      <c r="B226" s="1">
        <v>45007</v>
      </c>
      <c r="C226" s="1">
        <f>DATE(YEAR(Table1[[#This Row],[Sale_Date]]), MONTH(Table1[[#This Row],[Sale_Date]]), 1)</f>
        <v>44986</v>
      </c>
      <c r="D226" t="s">
        <v>38</v>
      </c>
      <c r="E226" t="s">
        <v>15</v>
      </c>
      <c r="F226" s="2">
        <v>6747.64</v>
      </c>
      <c r="G226">
        <v>6</v>
      </c>
      <c r="H226" t="s">
        <v>35</v>
      </c>
      <c r="I226" s="2">
        <v>4885.9799999999996</v>
      </c>
      <c r="J226" s="2">
        <v>4949.95</v>
      </c>
      <c r="K226" t="s">
        <v>17</v>
      </c>
      <c r="L226" s="5">
        <v>0.17</v>
      </c>
      <c r="M226" t="s">
        <v>27</v>
      </c>
      <c r="N226" t="s">
        <v>19</v>
      </c>
      <c r="O226" t="s">
        <v>40</v>
      </c>
      <c r="P226" s="4">
        <f t="shared" si="6"/>
        <v>24650.750999999997</v>
      </c>
      <c r="Q226" s="4">
        <f t="shared" si="7"/>
        <v>-4665.128999999999</v>
      </c>
      <c r="R226" t="str">
        <f>IF( Table1[[#This Row],[Total Amount after sale]] &gt; 0,"PROFIT","LOSS")</f>
        <v>LOSS</v>
      </c>
      <c r="S226" s="3">
        <f>(Table1[[#This Row],[Total Amount after sale]]/Table1[[#This Row],[Price after discount]])</f>
        <v>-0.18924896040692632</v>
      </c>
    </row>
    <row r="227" spans="1:19" x14ac:dyDescent="0.3">
      <c r="A227">
        <v>1076</v>
      </c>
      <c r="B227" s="1">
        <v>45007</v>
      </c>
      <c r="C227" s="1">
        <f>DATE(YEAR(Table1[[#This Row],[Sale_Date]]), MONTH(Table1[[#This Row],[Sale_Date]]), 1)</f>
        <v>44986</v>
      </c>
      <c r="D227" t="s">
        <v>33</v>
      </c>
      <c r="E227" t="s">
        <v>25</v>
      </c>
      <c r="F227" s="2">
        <v>316.94</v>
      </c>
      <c r="G227">
        <v>23</v>
      </c>
      <c r="H227" t="s">
        <v>26</v>
      </c>
      <c r="I227" s="2">
        <v>2759.16</v>
      </c>
      <c r="J227" s="2">
        <v>2864.45</v>
      </c>
      <c r="K227" t="s">
        <v>17</v>
      </c>
      <c r="L227" s="5">
        <v>0.18</v>
      </c>
      <c r="M227" t="s">
        <v>31</v>
      </c>
      <c r="N227" t="s">
        <v>22</v>
      </c>
      <c r="O227" t="s">
        <v>44</v>
      </c>
      <c r="P227" s="4">
        <f t="shared" si="6"/>
        <v>54023.527000000002</v>
      </c>
      <c r="Q227" s="4">
        <f t="shared" si="7"/>
        <v>-9437.152999999993</v>
      </c>
      <c r="R227" t="str">
        <f>IF( Table1[[#This Row],[Total Amount after sale]] &gt; 0,"PROFIT","LOSS")</f>
        <v>LOSS</v>
      </c>
      <c r="S227" s="3">
        <f>(Table1[[#This Row],[Total Amount after sale]]/Table1[[#This Row],[Price after discount]])</f>
        <v>-0.17468598449708758</v>
      </c>
    </row>
    <row r="228" spans="1:19" x14ac:dyDescent="0.3">
      <c r="A228">
        <v>1061</v>
      </c>
      <c r="B228" s="1">
        <v>45007</v>
      </c>
      <c r="C228" s="1">
        <f>DATE(YEAR(Table1[[#This Row],[Sale_Date]]), MONTH(Table1[[#This Row],[Sale_Date]]), 1)</f>
        <v>44986</v>
      </c>
      <c r="D228" t="s">
        <v>42</v>
      </c>
      <c r="E228" t="s">
        <v>34</v>
      </c>
      <c r="F228" s="2">
        <v>8915.0499999999993</v>
      </c>
      <c r="G228">
        <v>34</v>
      </c>
      <c r="H228" t="s">
        <v>29</v>
      </c>
      <c r="I228" s="2">
        <v>2680.82</v>
      </c>
      <c r="J228" s="2">
        <v>2771.02</v>
      </c>
      <c r="K228" t="s">
        <v>30</v>
      </c>
      <c r="L228" s="5">
        <v>0.2</v>
      </c>
      <c r="M228" t="s">
        <v>27</v>
      </c>
      <c r="N228" t="s">
        <v>19</v>
      </c>
      <c r="O228" t="s">
        <v>52</v>
      </c>
      <c r="P228" s="4">
        <f t="shared" si="6"/>
        <v>75371.744000000006</v>
      </c>
      <c r="Q228" s="4">
        <f t="shared" si="7"/>
        <v>-15776.135999999997</v>
      </c>
      <c r="R228" t="str">
        <f>IF( Table1[[#This Row],[Total Amount after sale]] &gt; 0,"PROFIT","LOSS")</f>
        <v>LOSS</v>
      </c>
      <c r="S228" s="3">
        <f>(Table1[[#This Row],[Total Amount after sale]]/Table1[[#This Row],[Price after discount]])</f>
        <v>-0.20931101182957895</v>
      </c>
    </row>
    <row r="229" spans="1:19" x14ac:dyDescent="0.3">
      <c r="A229">
        <v>1035</v>
      </c>
      <c r="B229" s="1">
        <v>45008</v>
      </c>
      <c r="C229" s="1">
        <f>DATE(YEAR(Table1[[#This Row],[Sale_Date]]), MONTH(Table1[[#This Row],[Sale_Date]]), 1)</f>
        <v>44986</v>
      </c>
      <c r="D229" t="s">
        <v>24</v>
      </c>
      <c r="E229" t="s">
        <v>34</v>
      </c>
      <c r="F229" s="2">
        <v>613.16999999999996</v>
      </c>
      <c r="G229">
        <v>30</v>
      </c>
      <c r="H229" t="s">
        <v>29</v>
      </c>
      <c r="I229" s="2">
        <v>1300.03</v>
      </c>
      <c r="J229" s="2">
        <v>1745.52</v>
      </c>
      <c r="K229" t="s">
        <v>30</v>
      </c>
      <c r="L229" s="5">
        <v>0.09</v>
      </c>
      <c r="M229" t="s">
        <v>18</v>
      </c>
      <c r="N229" t="s">
        <v>22</v>
      </c>
      <c r="O229" t="s">
        <v>50</v>
      </c>
      <c r="P229" s="4">
        <f t="shared" si="6"/>
        <v>47652.695999999996</v>
      </c>
      <c r="Q229" s="4">
        <f t="shared" si="7"/>
        <v>8651.7959999999985</v>
      </c>
      <c r="R229" t="str">
        <f>IF( Table1[[#This Row],[Total Amount after sale]] &gt; 0,"PROFIT","LOSS")</f>
        <v>PROFIT</v>
      </c>
      <c r="S229" s="3">
        <f>(Table1[[#This Row],[Total Amount after sale]]/Table1[[#This Row],[Price after discount]])</f>
        <v>0.18155942320661142</v>
      </c>
    </row>
    <row r="230" spans="1:19" x14ac:dyDescent="0.3">
      <c r="A230">
        <v>1092</v>
      </c>
      <c r="B230" s="1">
        <v>45008</v>
      </c>
      <c r="C230" s="1">
        <f>DATE(YEAR(Table1[[#This Row],[Sale_Date]]), MONTH(Table1[[#This Row],[Sale_Date]]), 1)</f>
        <v>44986</v>
      </c>
      <c r="D230" t="s">
        <v>14</v>
      </c>
      <c r="E230" t="s">
        <v>25</v>
      </c>
      <c r="F230" s="2">
        <v>7914</v>
      </c>
      <c r="G230">
        <v>18</v>
      </c>
      <c r="H230" t="s">
        <v>26</v>
      </c>
      <c r="I230" s="2">
        <v>3070.47</v>
      </c>
      <c r="J230" s="2">
        <v>3475.29</v>
      </c>
      <c r="K230" t="s">
        <v>17</v>
      </c>
      <c r="L230" s="5">
        <v>0.2</v>
      </c>
      <c r="M230" t="s">
        <v>27</v>
      </c>
      <c r="N230" t="s">
        <v>19</v>
      </c>
      <c r="O230" t="s">
        <v>32</v>
      </c>
      <c r="P230" s="4">
        <f t="shared" si="6"/>
        <v>50044.175999999999</v>
      </c>
      <c r="Q230" s="4">
        <f t="shared" si="7"/>
        <v>-5224.2839999999969</v>
      </c>
      <c r="R230" t="str">
        <f>IF( Table1[[#This Row],[Total Amount after sale]] &gt; 0,"PROFIT","LOSS")</f>
        <v>LOSS</v>
      </c>
      <c r="S230" s="3">
        <f>(Table1[[#This Row],[Total Amount after sale]]/Table1[[#This Row],[Price after discount]])</f>
        <v>-0.10439344630232292</v>
      </c>
    </row>
    <row r="231" spans="1:19" x14ac:dyDescent="0.3">
      <c r="A231">
        <v>1031</v>
      </c>
      <c r="B231" s="1">
        <v>45008</v>
      </c>
      <c r="C231" s="1">
        <f>DATE(YEAR(Table1[[#This Row],[Sale_Date]]), MONTH(Table1[[#This Row],[Sale_Date]]), 1)</f>
        <v>44986</v>
      </c>
      <c r="D231" t="s">
        <v>38</v>
      </c>
      <c r="E231" t="s">
        <v>34</v>
      </c>
      <c r="F231" s="2">
        <v>433.4</v>
      </c>
      <c r="G231">
        <v>32</v>
      </c>
      <c r="H231" t="s">
        <v>29</v>
      </c>
      <c r="I231" s="2">
        <v>3351.33</v>
      </c>
      <c r="J231" s="2">
        <v>3711.47</v>
      </c>
      <c r="K231" t="s">
        <v>30</v>
      </c>
      <c r="L231" s="5">
        <v>0.16</v>
      </c>
      <c r="M231" t="s">
        <v>18</v>
      </c>
      <c r="N231" t="s">
        <v>22</v>
      </c>
      <c r="O231" t="s">
        <v>48</v>
      </c>
      <c r="P231" s="4">
        <f t="shared" si="6"/>
        <v>99764.313599999994</v>
      </c>
      <c r="Q231" s="4">
        <f t="shared" si="7"/>
        <v>-7478.2464000000036</v>
      </c>
      <c r="R231" t="str">
        <f>IF( Table1[[#This Row],[Total Amount after sale]] &gt; 0,"PROFIT","LOSS")</f>
        <v>LOSS</v>
      </c>
      <c r="S231" s="3">
        <f>(Table1[[#This Row],[Total Amount after sale]]/Table1[[#This Row],[Price after discount]])</f>
        <v>-7.4959132480815302E-2</v>
      </c>
    </row>
    <row r="232" spans="1:19" x14ac:dyDescent="0.3">
      <c r="A232">
        <v>1078</v>
      </c>
      <c r="B232" s="1">
        <v>45008</v>
      </c>
      <c r="C232" s="1">
        <f>DATE(YEAR(Table1[[#This Row],[Sale_Date]]), MONTH(Table1[[#This Row],[Sale_Date]]), 1)</f>
        <v>44986</v>
      </c>
      <c r="D232" t="s">
        <v>38</v>
      </c>
      <c r="E232" t="s">
        <v>21</v>
      </c>
      <c r="F232" s="2">
        <v>3808.03</v>
      </c>
      <c r="G232">
        <v>33</v>
      </c>
      <c r="H232" t="s">
        <v>29</v>
      </c>
      <c r="I232" s="2">
        <v>2396.6799999999998</v>
      </c>
      <c r="J232" s="2">
        <v>2661.54</v>
      </c>
      <c r="K232" t="s">
        <v>30</v>
      </c>
      <c r="L232" s="5">
        <v>0.18</v>
      </c>
      <c r="M232" t="s">
        <v>27</v>
      </c>
      <c r="N232" t="s">
        <v>19</v>
      </c>
      <c r="O232" t="s">
        <v>41</v>
      </c>
      <c r="P232" s="4">
        <f t="shared" si="6"/>
        <v>72021.272400000002</v>
      </c>
      <c r="Q232" s="4">
        <f t="shared" si="7"/>
        <v>-7069.1675999999861</v>
      </c>
      <c r="R232" t="str">
        <f>IF( Table1[[#This Row],[Total Amount after sale]] &gt; 0,"PROFIT","LOSS")</f>
        <v>LOSS</v>
      </c>
      <c r="S232" s="3">
        <f>(Table1[[#This Row],[Total Amount after sale]]/Table1[[#This Row],[Price after discount]])</f>
        <v>-9.8153883768373779E-2</v>
      </c>
    </row>
    <row r="233" spans="1:19" x14ac:dyDescent="0.3">
      <c r="A233">
        <v>1061</v>
      </c>
      <c r="B233" s="1">
        <v>45009</v>
      </c>
      <c r="C233" s="1">
        <f>DATE(YEAR(Table1[[#This Row],[Sale_Date]]), MONTH(Table1[[#This Row],[Sale_Date]]), 1)</f>
        <v>44986</v>
      </c>
      <c r="D233" t="s">
        <v>33</v>
      </c>
      <c r="E233" t="s">
        <v>34</v>
      </c>
      <c r="F233" s="2">
        <v>3750.2</v>
      </c>
      <c r="G233">
        <v>13</v>
      </c>
      <c r="H233" t="s">
        <v>35</v>
      </c>
      <c r="I233" s="2">
        <v>637.37</v>
      </c>
      <c r="J233" s="2">
        <v>692.71</v>
      </c>
      <c r="K233" t="s">
        <v>30</v>
      </c>
      <c r="L233" s="5">
        <v>0.08</v>
      </c>
      <c r="M233" t="s">
        <v>31</v>
      </c>
      <c r="N233" t="s">
        <v>19</v>
      </c>
      <c r="O233" t="s">
        <v>36</v>
      </c>
      <c r="P233" s="4">
        <f t="shared" si="6"/>
        <v>8284.8116000000009</v>
      </c>
      <c r="Q233" s="4">
        <f t="shared" si="7"/>
        <v>-0.99839999999915108</v>
      </c>
      <c r="R233" t="str">
        <f>IF( Table1[[#This Row],[Total Amount after sale]] &gt; 0,"PROFIT","LOSS")</f>
        <v>LOSS</v>
      </c>
      <c r="S233" s="3">
        <f>(Table1[[#This Row],[Total Amount after sale]]/Table1[[#This Row],[Price after discount]])</f>
        <v>-1.2050968063041421E-4</v>
      </c>
    </row>
    <row r="234" spans="1:19" x14ac:dyDescent="0.3">
      <c r="A234">
        <v>1074</v>
      </c>
      <c r="B234" s="1">
        <v>45010</v>
      </c>
      <c r="C234" s="1">
        <f>DATE(YEAR(Table1[[#This Row],[Sale_Date]]), MONTH(Table1[[#This Row],[Sale_Date]]), 1)</f>
        <v>44986</v>
      </c>
      <c r="D234" t="s">
        <v>38</v>
      </c>
      <c r="E234" t="s">
        <v>21</v>
      </c>
      <c r="F234" s="2">
        <v>7499.7</v>
      </c>
      <c r="G234">
        <v>38</v>
      </c>
      <c r="H234" t="s">
        <v>26</v>
      </c>
      <c r="I234" s="2">
        <v>2610.6</v>
      </c>
      <c r="J234" s="2">
        <v>2836.94</v>
      </c>
      <c r="K234" t="s">
        <v>17</v>
      </c>
      <c r="L234" s="5">
        <v>0.19</v>
      </c>
      <c r="M234" t="s">
        <v>31</v>
      </c>
      <c r="N234" t="s">
        <v>19</v>
      </c>
      <c r="O234" t="s">
        <v>41</v>
      </c>
      <c r="P234" s="4">
        <f t="shared" si="6"/>
        <v>87321.013200000001</v>
      </c>
      <c r="Q234" s="4">
        <f t="shared" si="7"/>
        <v>-11881.786799999991</v>
      </c>
      <c r="R234" t="str">
        <f>IF( Table1[[#This Row],[Total Amount after sale]] &gt; 0,"PROFIT","LOSS")</f>
        <v>LOSS</v>
      </c>
      <c r="S234" s="3">
        <f>(Table1[[#This Row],[Total Amount after sale]]/Table1[[#This Row],[Price after discount]])</f>
        <v>-0.13607018934590182</v>
      </c>
    </row>
    <row r="235" spans="1:19" x14ac:dyDescent="0.3">
      <c r="A235">
        <v>1092</v>
      </c>
      <c r="B235" s="1">
        <v>45010</v>
      </c>
      <c r="C235" s="1">
        <f>DATE(YEAR(Table1[[#This Row],[Sale_Date]]), MONTH(Table1[[#This Row],[Sale_Date]]), 1)</f>
        <v>44986</v>
      </c>
      <c r="D235" t="s">
        <v>42</v>
      </c>
      <c r="E235" t="s">
        <v>21</v>
      </c>
      <c r="F235" s="2">
        <v>1897.98</v>
      </c>
      <c r="G235">
        <v>49</v>
      </c>
      <c r="H235" t="s">
        <v>16</v>
      </c>
      <c r="I235" s="2">
        <v>2315</v>
      </c>
      <c r="J235" s="2">
        <v>2467.2800000000002</v>
      </c>
      <c r="K235" t="s">
        <v>30</v>
      </c>
      <c r="L235" s="5">
        <v>0.15</v>
      </c>
      <c r="M235" t="s">
        <v>27</v>
      </c>
      <c r="N235" t="s">
        <v>22</v>
      </c>
      <c r="O235" t="s">
        <v>51</v>
      </c>
      <c r="P235" s="4">
        <f t="shared" si="6"/>
        <v>102762.212</v>
      </c>
      <c r="Q235" s="4">
        <f t="shared" si="7"/>
        <v>-10672.787999999995</v>
      </c>
      <c r="R235" t="str">
        <f>IF( Table1[[#This Row],[Total Amount after sale]] &gt; 0,"PROFIT","LOSS")</f>
        <v>LOSS</v>
      </c>
      <c r="S235" s="3">
        <f>(Table1[[#This Row],[Total Amount after sale]]/Table1[[#This Row],[Price after discount]])</f>
        <v>-0.10385907224340397</v>
      </c>
    </row>
    <row r="236" spans="1:19" x14ac:dyDescent="0.3">
      <c r="A236">
        <v>1055</v>
      </c>
      <c r="B236" s="1">
        <v>45010</v>
      </c>
      <c r="C236" s="1">
        <f>DATE(YEAR(Table1[[#This Row],[Sale_Date]]), MONTH(Table1[[#This Row],[Sale_Date]]), 1)</f>
        <v>44986</v>
      </c>
      <c r="D236" t="s">
        <v>24</v>
      </c>
      <c r="E236" t="s">
        <v>34</v>
      </c>
      <c r="F236" s="2">
        <v>1756.83</v>
      </c>
      <c r="G236">
        <v>11</v>
      </c>
      <c r="H236" t="s">
        <v>35</v>
      </c>
      <c r="I236" s="2">
        <v>2495.1999999999998</v>
      </c>
      <c r="J236" s="2">
        <v>2600.9299999999998</v>
      </c>
      <c r="K236" t="s">
        <v>30</v>
      </c>
      <c r="L236" s="5">
        <v>0.21</v>
      </c>
      <c r="M236" t="s">
        <v>27</v>
      </c>
      <c r="N236" t="s">
        <v>22</v>
      </c>
      <c r="O236" t="s">
        <v>50</v>
      </c>
      <c r="P236" s="4">
        <f t="shared" si="6"/>
        <v>22602.081699999999</v>
      </c>
      <c r="Q236" s="4">
        <f t="shared" si="7"/>
        <v>-4845.1182999999983</v>
      </c>
      <c r="R236" t="str">
        <f>IF( Table1[[#This Row],[Total Amount after sale]] &gt; 0,"PROFIT","LOSS")</f>
        <v>LOSS</v>
      </c>
      <c r="S236" s="3">
        <f>(Table1[[#This Row],[Total Amount after sale]]/Table1[[#This Row],[Price after discount]])</f>
        <v>-0.21436602009982109</v>
      </c>
    </row>
    <row r="237" spans="1:19" x14ac:dyDescent="0.3">
      <c r="A237">
        <v>1053</v>
      </c>
      <c r="B237" s="1">
        <v>45010</v>
      </c>
      <c r="C237" s="1">
        <f>DATE(YEAR(Table1[[#This Row],[Sale_Date]]), MONTH(Table1[[#This Row],[Sale_Date]]), 1)</f>
        <v>44986</v>
      </c>
      <c r="D237" t="s">
        <v>14</v>
      </c>
      <c r="E237" t="s">
        <v>34</v>
      </c>
      <c r="F237" s="2">
        <v>7080.88</v>
      </c>
      <c r="G237">
        <v>1</v>
      </c>
      <c r="H237" t="s">
        <v>29</v>
      </c>
      <c r="I237" s="2">
        <v>1702.82</v>
      </c>
      <c r="J237" s="2">
        <v>1862.61</v>
      </c>
      <c r="K237" t="s">
        <v>17</v>
      </c>
      <c r="L237" s="5">
        <v>0.24</v>
      </c>
      <c r="M237" t="s">
        <v>18</v>
      </c>
      <c r="N237" t="s">
        <v>22</v>
      </c>
      <c r="O237" t="s">
        <v>46</v>
      </c>
      <c r="P237" s="4">
        <f t="shared" si="6"/>
        <v>1415.5835999999999</v>
      </c>
      <c r="Q237" s="4">
        <f t="shared" si="7"/>
        <v>-287.2364</v>
      </c>
      <c r="R237" t="str">
        <f>IF( Table1[[#This Row],[Total Amount after sale]] &gt; 0,"PROFIT","LOSS")</f>
        <v>LOSS</v>
      </c>
      <c r="S237" s="3">
        <f>(Table1[[#This Row],[Total Amount after sale]]/Table1[[#This Row],[Price after discount]])</f>
        <v>-0.20291023433727265</v>
      </c>
    </row>
    <row r="238" spans="1:19" x14ac:dyDescent="0.3">
      <c r="A238">
        <v>1005</v>
      </c>
      <c r="B238" s="1">
        <v>45010</v>
      </c>
      <c r="C238" s="1">
        <f>DATE(YEAR(Table1[[#This Row],[Sale_Date]]), MONTH(Table1[[#This Row],[Sale_Date]]), 1)</f>
        <v>44986</v>
      </c>
      <c r="D238" t="s">
        <v>14</v>
      </c>
      <c r="E238" t="s">
        <v>21</v>
      </c>
      <c r="F238" s="2">
        <v>7442.25</v>
      </c>
      <c r="G238">
        <v>14</v>
      </c>
      <c r="H238" t="s">
        <v>29</v>
      </c>
      <c r="I238" s="2">
        <v>1861.2</v>
      </c>
      <c r="J238" s="2">
        <v>2075.35</v>
      </c>
      <c r="K238" t="s">
        <v>17</v>
      </c>
      <c r="L238" s="5">
        <v>0.1</v>
      </c>
      <c r="M238" t="s">
        <v>31</v>
      </c>
      <c r="N238" t="s">
        <v>22</v>
      </c>
      <c r="O238" t="s">
        <v>23</v>
      </c>
      <c r="P238" s="4">
        <f t="shared" si="6"/>
        <v>26149.41</v>
      </c>
      <c r="Q238" s="4">
        <f t="shared" si="7"/>
        <v>92.610000000000127</v>
      </c>
      <c r="R238" t="str">
        <f>IF( Table1[[#This Row],[Total Amount after sale]] &gt; 0,"PROFIT","LOSS")</f>
        <v>PROFIT</v>
      </c>
      <c r="S238" s="3">
        <f>(Table1[[#This Row],[Total Amount after sale]]/Table1[[#This Row],[Price after discount]])</f>
        <v>3.5415713012263042E-3</v>
      </c>
    </row>
    <row r="239" spans="1:19" x14ac:dyDescent="0.3">
      <c r="A239">
        <v>1049</v>
      </c>
      <c r="B239" s="1">
        <v>45010</v>
      </c>
      <c r="C239" s="1">
        <f>DATE(YEAR(Table1[[#This Row],[Sale_Date]]), MONTH(Table1[[#This Row],[Sale_Date]]), 1)</f>
        <v>44986</v>
      </c>
      <c r="D239" t="s">
        <v>38</v>
      </c>
      <c r="E239" t="s">
        <v>34</v>
      </c>
      <c r="F239" s="2">
        <v>8611.9699999999993</v>
      </c>
      <c r="G239">
        <v>17</v>
      </c>
      <c r="H239" t="s">
        <v>35</v>
      </c>
      <c r="I239" s="2">
        <v>558.70000000000005</v>
      </c>
      <c r="J239" s="2">
        <v>1004.08</v>
      </c>
      <c r="K239" t="s">
        <v>17</v>
      </c>
      <c r="L239" s="5">
        <v>0.03</v>
      </c>
      <c r="M239" t="s">
        <v>31</v>
      </c>
      <c r="N239" t="s">
        <v>19</v>
      </c>
      <c r="O239" t="s">
        <v>48</v>
      </c>
      <c r="P239" s="4">
        <f t="shared" si="6"/>
        <v>16557.279200000001</v>
      </c>
      <c r="Q239" s="4">
        <f t="shared" si="7"/>
        <v>7059.3791999999985</v>
      </c>
      <c r="R239" t="str">
        <f>IF( Table1[[#This Row],[Total Amount after sale]] &gt; 0,"PROFIT","LOSS")</f>
        <v>PROFIT</v>
      </c>
      <c r="S239" s="3">
        <f>(Table1[[#This Row],[Total Amount after sale]]/Table1[[#This Row],[Price after discount]])</f>
        <v>0.42636106540982882</v>
      </c>
    </row>
    <row r="240" spans="1:19" x14ac:dyDescent="0.3">
      <c r="A240">
        <v>1097</v>
      </c>
      <c r="B240" s="1">
        <v>45011</v>
      </c>
      <c r="C240" s="1">
        <f>DATE(YEAR(Table1[[#This Row],[Sale_Date]]), MONTH(Table1[[#This Row],[Sale_Date]]), 1)</f>
        <v>44986</v>
      </c>
      <c r="D240" t="s">
        <v>24</v>
      </c>
      <c r="E240" t="s">
        <v>34</v>
      </c>
      <c r="F240" s="2">
        <v>6286.25</v>
      </c>
      <c r="G240">
        <v>7</v>
      </c>
      <c r="H240" t="s">
        <v>29</v>
      </c>
      <c r="I240" s="2">
        <v>1896.35</v>
      </c>
      <c r="J240" s="2">
        <v>2394.1999999999998</v>
      </c>
      <c r="K240" t="s">
        <v>30</v>
      </c>
      <c r="L240" s="5">
        <v>0.22</v>
      </c>
      <c r="M240" t="s">
        <v>27</v>
      </c>
      <c r="N240" t="s">
        <v>19</v>
      </c>
      <c r="O240" t="s">
        <v>50</v>
      </c>
      <c r="P240" s="4">
        <f t="shared" si="6"/>
        <v>13072.331999999999</v>
      </c>
      <c r="Q240" s="4">
        <f t="shared" si="7"/>
        <v>-202.11800000000017</v>
      </c>
      <c r="R240" t="str">
        <f>IF( Table1[[#This Row],[Total Amount after sale]] &gt; 0,"PROFIT","LOSS")</f>
        <v>LOSS</v>
      </c>
      <c r="S240" s="3">
        <f>(Table1[[#This Row],[Total Amount after sale]]/Table1[[#This Row],[Price after discount]])</f>
        <v>-1.5461510616468445E-2</v>
      </c>
    </row>
    <row r="241" spans="1:19" x14ac:dyDescent="0.3">
      <c r="A241">
        <v>1096</v>
      </c>
      <c r="B241" s="1">
        <v>45012</v>
      </c>
      <c r="C241" s="1">
        <f>DATE(YEAR(Table1[[#This Row],[Sale_Date]]), MONTH(Table1[[#This Row],[Sale_Date]]), 1)</f>
        <v>44986</v>
      </c>
      <c r="D241" t="s">
        <v>42</v>
      </c>
      <c r="E241" t="s">
        <v>15</v>
      </c>
      <c r="F241" s="2">
        <v>4821.3100000000004</v>
      </c>
      <c r="G241">
        <v>48</v>
      </c>
      <c r="H241" t="s">
        <v>29</v>
      </c>
      <c r="I241" s="2">
        <v>2449.21</v>
      </c>
      <c r="J241" s="2">
        <v>2714.12</v>
      </c>
      <c r="K241" t="s">
        <v>30</v>
      </c>
      <c r="L241" s="5">
        <v>0.01</v>
      </c>
      <c r="M241" t="s">
        <v>31</v>
      </c>
      <c r="N241" t="s">
        <v>19</v>
      </c>
      <c r="O241" t="s">
        <v>49</v>
      </c>
      <c r="P241" s="4">
        <f t="shared" si="6"/>
        <v>128974.98239999999</v>
      </c>
      <c r="Q241" s="4">
        <f t="shared" si="7"/>
        <v>11412.902399999992</v>
      </c>
      <c r="R241" t="str">
        <f>IF( Table1[[#This Row],[Total Amount after sale]] &gt; 0,"PROFIT","LOSS")</f>
        <v>PROFIT</v>
      </c>
      <c r="S241" s="3">
        <f>(Table1[[#This Row],[Total Amount after sale]]/Table1[[#This Row],[Price after discount]])</f>
        <v>8.8489272784734979E-2</v>
      </c>
    </row>
    <row r="242" spans="1:19" x14ac:dyDescent="0.3">
      <c r="A242">
        <v>1010</v>
      </c>
      <c r="B242" s="1">
        <v>45012</v>
      </c>
      <c r="C242" s="1">
        <f>DATE(YEAR(Table1[[#This Row],[Sale_Date]]), MONTH(Table1[[#This Row],[Sale_Date]]), 1)</f>
        <v>44986</v>
      </c>
      <c r="D242" t="s">
        <v>38</v>
      </c>
      <c r="E242" t="s">
        <v>25</v>
      </c>
      <c r="F242" s="2">
        <v>8159.84</v>
      </c>
      <c r="G242">
        <v>37</v>
      </c>
      <c r="H242" t="s">
        <v>29</v>
      </c>
      <c r="I242" s="2">
        <v>4354.92</v>
      </c>
      <c r="J242" s="2">
        <v>4495.88</v>
      </c>
      <c r="K242" t="s">
        <v>17</v>
      </c>
      <c r="L242" s="5">
        <v>0.01</v>
      </c>
      <c r="M242" t="s">
        <v>27</v>
      </c>
      <c r="N242" t="s">
        <v>19</v>
      </c>
      <c r="O242" t="s">
        <v>39</v>
      </c>
      <c r="P242" s="4">
        <f t="shared" si="6"/>
        <v>164684.08439999999</v>
      </c>
      <c r="Q242" s="4">
        <f t="shared" si="7"/>
        <v>3552.0443999999889</v>
      </c>
      <c r="R242" t="str">
        <f>IF( Table1[[#This Row],[Total Amount after sale]] &gt; 0,"PROFIT","LOSS")</f>
        <v>PROFIT</v>
      </c>
      <c r="S242" s="3">
        <f>(Table1[[#This Row],[Total Amount after sale]]/Table1[[#This Row],[Price after discount]])</f>
        <v>2.1568838378895519E-2</v>
      </c>
    </row>
    <row r="243" spans="1:19" x14ac:dyDescent="0.3">
      <c r="A243">
        <v>1069</v>
      </c>
      <c r="B243" s="1">
        <v>45012</v>
      </c>
      <c r="C243" s="1">
        <f>DATE(YEAR(Table1[[#This Row],[Sale_Date]]), MONTH(Table1[[#This Row],[Sale_Date]]), 1)</f>
        <v>44986</v>
      </c>
      <c r="D243" t="s">
        <v>24</v>
      </c>
      <c r="E243" t="s">
        <v>34</v>
      </c>
      <c r="F243" s="2">
        <v>719.39</v>
      </c>
      <c r="G243">
        <v>47</v>
      </c>
      <c r="H243" t="s">
        <v>35</v>
      </c>
      <c r="I243" s="2">
        <v>4171.83</v>
      </c>
      <c r="J243" s="2">
        <v>4320.93</v>
      </c>
      <c r="K243" t="s">
        <v>30</v>
      </c>
      <c r="L243" s="5">
        <v>7.0000000000000007E-2</v>
      </c>
      <c r="M243" t="s">
        <v>18</v>
      </c>
      <c r="N243" t="s">
        <v>19</v>
      </c>
      <c r="O243" t="s">
        <v>50</v>
      </c>
      <c r="P243" s="4">
        <f t="shared" si="6"/>
        <v>188867.85029999999</v>
      </c>
      <c r="Q243" s="4">
        <f t="shared" si="7"/>
        <v>-7208.1596999999992</v>
      </c>
      <c r="R243" t="str">
        <f>IF( Table1[[#This Row],[Total Amount after sale]] &gt; 0,"PROFIT","LOSS")</f>
        <v>LOSS</v>
      </c>
      <c r="S243" s="3">
        <f>(Table1[[#This Row],[Total Amount after sale]]/Table1[[#This Row],[Price after discount]])</f>
        <v>-3.8165096328202343E-2</v>
      </c>
    </row>
    <row r="244" spans="1:19" x14ac:dyDescent="0.3">
      <c r="A244">
        <v>1066</v>
      </c>
      <c r="B244" s="1">
        <v>45013</v>
      </c>
      <c r="C244" s="1">
        <f>DATE(YEAR(Table1[[#This Row],[Sale_Date]]), MONTH(Table1[[#This Row],[Sale_Date]]), 1)</f>
        <v>44986</v>
      </c>
      <c r="D244" t="s">
        <v>33</v>
      </c>
      <c r="E244" t="s">
        <v>15</v>
      </c>
      <c r="F244" s="2">
        <v>7297.86</v>
      </c>
      <c r="G244">
        <v>7</v>
      </c>
      <c r="H244" t="s">
        <v>29</v>
      </c>
      <c r="I244" s="2">
        <v>523.41999999999996</v>
      </c>
      <c r="J244" s="2">
        <v>632.43999999999903</v>
      </c>
      <c r="K244" t="s">
        <v>30</v>
      </c>
      <c r="L244" s="5">
        <v>0.2</v>
      </c>
      <c r="M244" t="s">
        <v>27</v>
      </c>
      <c r="N244" t="s">
        <v>19</v>
      </c>
      <c r="O244" t="s">
        <v>53</v>
      </c>
      <c r="P244" s="4">
        <f t="shared" si="6"/>
        <v>3541.6639999999948</v>
      </c>
      <c r="Q244" s="4">
        <f t="shared" si="7"/>
        <v>-122.2760000000049</v>
      </c>
      <c r="R244" t="str">
        <f>IF( Table1[[#This Row],[Total Amount after sale]] &gt; 0,"PROFIT","LOSS")</f>
        <v>LOSS</v>
      </c>
      <c r="S244" s="3">
        <f>(Table1[[#This Row],[Total Amount after sale]]/Table1[[#This Row],[Price after discount]])</f>
        <v>-3.4525014230600386E-2</v>
      </c>
    </row>
    <row r="245" spans="1:19" x14ac:dyDescent="0.3">
      <c r="A245">
        <v>1045</v>
      </c>
      <c r="B245" s="1">
        <v>45013</v>
      </c>
      <c r="C245" s="1">
        <f>DATE(YEAR(Table1[[#This Row],[Sale_Date]]), MONTH(Table1[[#This Row],[Sale_Date]]), 1)</f>
        <v>44986</v>
      </c>
      <c r="D245" t="s">
        <v>38</v>
      </c>
      <c r="E245" t="s">
        <v>21</v>
      </c>
      <c r="F245" s="2">
        <v>6792.66</v>
      </c>
      <c r="G245">
        <v>14</v>
      </c>
      <c r="H245" t="s">
        <v>29</v>
      </c>
      <c r="I245" s="2">
        <v>635.28</v>
      </c>
      <c r="J245" s="2">
        <v>831.13</v>
      </c>
      <c r="K245" t="s">
        <v>17</v>
      </c>
      <c r="L245" s="5">
        <v>0.17</v>
      </c>
      <c r="M245" t="s">
        <v>27</v>
      </c>
      <c r="N245" t="s">
        <v>22</v>
      </c>
      <c r="O245" t="s">
        <v>41</v>
      </c>
      <c r="P245" s="4">
        <f t="shared" si="6"/>
        <v>9657.730599999999</v>
      </c>
      <c r="Q245" s="4">
        <f t="shared" si="7"/>
        <v>763.81060000000025</v>
      </c>
      <c r="R245" t="str">
        <f>IF( Table1[[#This Row],[Total Amount after sale]] &gt; 0,"PROFIT","LOSS")</f>
        <v>PROFIT</v>
      </c>
      <c r="S245" s="3">
        <f>(Table1[[#This Row],[Total Amount after sale]]/Table1[[#This Row],[Price after discount]])</f>
        <v>7.9088000238896741E-2</v>
      </c>
    </row>
    <row r="246" spans="1:19" x14ac:dyDescent="0.3">
      <c r="A246">
        <v>1063</v>
      </c>
      <c r="B246" s="1">
        <v>45013</v>
      </c>
      <c r="C246" s="1">
        <f>DATE(YEAR(Table1[[#This Row],[Sale_Date]]), MONTH(Table1[[#This Row],[Sale_Date]]), 1)</f>
        <v>44986</v>
      </c>
      <c r="D246" t="s">
        <v>33</v>
      </c>
      <c r="E246" t="s">
        <v>25</v>
      </c>
      <c r="F246" s="2">
        <v>4947.28</v>
      </c>
      <c r="G246">
        <v>42</v>
      </c>
      <c r="H246" t="s">
        <v>26</v>
      </c>
      <c r="I246" s="2">
        <v>1170.07</v>
      </c>
      <c r="J246" s="2">
        <v>1669.94999999999</v>
      </c>
      <c r="K246" t="s">
        <v>17</v>
      </c>
      <c r="L246" s="5">
        <v>0.12</v>
      </c>
      <c r="M246" t="s">
        <v>27</v>
      </c>
      <c r="N246" t="s">
        <v>22</v>
      </c>
      <c r="O246" t="s">
        <v>44</v>
      </c>
      <c r="P246" s="4">
        <f t="shared" si="6"/>
        <v>61721.351999999628</v>
      </c>
      <c r="Q246" s="4">
        <f t="shared" si="7"/>
        <v>12578.411999999633</v>
      </c>
      <c r="R246" t="str">
        <f>IF( Table1[[#This Row],[Total Amount after sale]] &gt; 0,"PROFIT","LOSS")</f>
        <v>PROFIT</v>
      </c>
      <c r="S246" s="3">
        <f>(Table1[[#This Row],[Total Amount after sale]]/Table1[[#This Row],[Price after discount]])</f>
        <v>0.20379352675229326</v>
      </c>
    </row>
    <row r="247" spans="1:19" x14ac:dyDescent="0.3">
      <c r="A247">
        <v>1022</v>
      </c>
      <c r="B247" s="1">
        <v>45014</v>
      </c>
      <c r="C247" s="1">
        <f>DATE(YEAR(Table1[[#This Row],[Sale_Date]]), MONTH(Table1[[#This Row],[Sale_Date]]), 1)</f>
        <v>44986</v>
      </c>
      <c r="D247" t="s">
        <v>14</v>
      </c>
      <c r="E247" t="s">
        <v>21</v>
      </c>
      <c r="F247" s="2">
        <v>8640.14</v>
      </c>
      <c r="G247">
        <v>45</v>
      </c>
      <c r="H247" t="s">
        <v>16</v>
      </c>
      <c r="I247" s="2">
        <v>4020.09</v>
      </c>
      <c r="J247" s="2">
        <v>4087.91</v>
      </c>
      <c r="K247" t="s">
        <v>17</v>
      </c>
      <c r="L247" s="5">
        <v>0.06</v>
      </c>
      <c r="M247" t="s">
        <v>27</v>
      </c>
      <c r="N247" t="s">
        <v>19</v>
      </c>
      <c r="O247" t="s">
        <v>23</v>
      </c>
      <c r="P247" s="4">
        <f t="shared" si="6"/>
        <v>172918.59299999999</v>
      </c>
      <c r="Q247" s="4">
        <f t="shared" si="7"/>
        <v>-7985.4570000000222</v>
      </c>
      <c r="R247" t="str">
        <f>IF( Table1[[#This Row],[Total Amount after sale]] &gt; 0,"PROFIT","LOSS")</f>
        <v>LOSS</v>
      </c>
      <c r="S247" s="3">
        <f>(Table1[[#This Row],[Total Amount after sale]]/Table1[[#This Row],[Price after discount]])</f>
        <v>-4.6180441683330277E-2</v>
      </c>
    </row>
    <row r="248" spans="1:19" x14ac:dyDescent="0.3">
      <c r="A248">
        <v>1010</v>
      </c>
      <c r="B248" s="1">
        <v>45014</v>
      </c>
      <c r="C248" s="1">
        <f>DATE(YEAR(Table1[[#This Row],[Sale_Date]]), MONTH(Table1[[#This Row],[Sale_Date]]), 1)</f>
        <v>44986</v>
      </c>
      <c r="D248" t="s">
        <v>42</v>
      </c>
      <c r="E248" t="s">
        <v>25</v>
      </c>
      <c r="F248" s="2">
        <v>3329.91</v>
      </c>
      <c r="G248">
        <v>49</v>
      </c>
      <c r="H248" t="s">
        <v>26</v>
      </c>
      <c r="I248" s="2">
        <v>1150.3</v>
      </c>
      <c r="J248" s="2">
        <v>1306.02</v>
      </c>
      <c r="K248" t="s">
        <v>30</v>
      </c>
      <c r="L248" s="5">
        <v>0.06</v>
      </c>
      <c r="M248" t="s">
        <v>31</v>
      </c>
      <c r="N248" t="s">
        <v>22</v>
      </c>
      <c r="O248" t="s">
        <v>43</v>
      </c>
      <c r="P248" s="4">
        <f t="shared" si="6"/>
        <v>60155.281199999998</v>
      </c>
      <c r="Q248" s="4">
        <f t="shared" si="7"/>
        <v>3790.5811999999987</v>
      </c>
      <c r="R248" t="str">
        <f>IF( Table1[[#This Row],[Total Amount after sale]] &gt; 0,"PROFIT","LOSS")</f>
        <v>PROFIT</v>
      </c>
      <c r="S248" s="3">
        <f>(Table1[[#This Row],[Total Amount after sale]]/Table1[[#This Row],[Price after discount]])</f>
        <v>6.301327372067872E-2</v>
      </c>
    </row>
    <row r="249" spans="1:19" x14ac:dyDescent="0.3">
      <c r="A249">
        <v>1005</v>
      </c>
      <c r="B249" s="1">
        <v>45015</v>
      </c>
      <c r="C249" s="1">
        <f>DATE(YEAR(Table1[[#This Row],[Sale_Date]]), MONTH(Table1[[#This Row],[Sale_Date]]), 1)</f>
        <v>44986</v>
      </c>
      <c r="D249" t="s">
        <v>42</v>
      </c>
      <c r="E249" t="s">
        <v>34</v>
      </c>
      <c r="F249" s="2">
        <v>6828.24</v>
      </c>
      <c r="G249">
        <v>12</v>
      </c>
      <c r="H249" t="s">
        <v>35</v>
      </c>
      <c r="I249" s="2">
        <v>319.83</v>
      </c>
      <c r="J249" s="2">
        <v>802.43</v>
      </c>
      <c r="K249" t="s">
        <v>30</v>
      </c>
      <c r="L249" s="5">
        <v>0.04</v>
      </c>
      <c r="M249" t="s">
        <v>31</v>
      </c>
      <c r="N249" t="s">
        <v>22</v>
      </c>
      <c r="O249" t="s">
        <v>52</v>
      </c>
      <c r="P249" s="4">
        <f t="shared" si="6"/>
        <v>9243.993599999998</v>
      </c>
      <c r="Q249" s="4">
        <f t="shared" si="7"/>
        <v>5406.0335999999988</v>
      </c>
      <c r="R249" t="str">
        <f>IF( Table1[[#This Row],[Total Amount after sale]] &gt; 0,"PROFIT","LOSS")</f>
        <v>PROFIT</v>
      </c>
      <c r="S249" s="3">
        <f>(Table1[[#This Row],[Total Amount after sale]]/Table1[[#This Row],[Price after discount]])</f>
        <v>0.58481580947870848</v>
      </c>
    </row>
    <row r="250" spans="1:19" x14ac:dyDescent="0.3">
      <c r="A250">
        <v>1007</v>
      </c>
      <c r="B250" s="1">
        <v>45015</v>
      </c>
      <c r="C250" s="1">
        <f>DATE(YEAR(Table1[[#This Row],[Sale_Date]]), MONTH(Table1[[#This Row],[Sale_Date]]), 1)</f>
        <v>44986</v>
      </c>
      <c r="D250" t="s">
        <v>24</v>
      </c>
      <c r="E250" t="s">
        <v>34</v>
      </c>
      <c r="F250" s="2">
        <v>8088.96</v>
      </c>
      <c r="G250">
        <v>14</v>
      </c>
      <c r="H250" t="s">
        <v>16</v>
      </c>
      <c r="I250" s="2">
        <v>1122.07</v>
      </c>
      <c r="J250" s="2">
        <v>1608.76</v>
      </c>
      <c r="K250" t="s">
        <v>30</v>
      </c>
      <c r="L250" s="5">
        <v>0.22</v>
      </c>
      <c r="M250" t="s">
        <v>18</v>
      </c>
      <c r="N250" t="s">
        <v>22</v>
      </c>
      <c r="O250" t="s">
        <v>50</v>
      </c>
      <c r="P250" s="4">
        <f t="shared" si="6"/>
        <v>17567.659200000002</v>
      </c>
      <c r="Q250" s="4">
        <f t="shared" si="7"/>
        <v>1858.6792000000028</v>
      </c>
      <c r="R250" t="str">
        <f>IF( Table1[[#This Row],[Total Amount after sale]] &gt; 0,"PROFIT","LOSS")</f>
        <v>PROFIT</v>
      </c>
      <c r="S250" s="3">
        <f>(Table1[[#This Row],[Total Amount after sale]]/Table1[[#This Row],[Price after discount]])</f>
        <v>0.10580118721793069</v>
      </c>
    </row>
    <row r="251" spans="1:19" x14ac:dyDescent="0.3">
      <c r="A251">
        <v>1085</v>
      </c>
      <c r="B251" s="1">
        <v>45015</v>
      </c>
      <c r="C251" s="1">
        <f>DATE(YEAR(Table1[[#This Row],[Sale_Date]]), MONTH(Table1[[#This Row],[Sale_Date]]), 1)</f>
        <v>44986</v>
      </c>
      <c r="D251" t="s">
        <v>24</v>
      </c>
      <c r="E251" t="s">
        <v>21</v>
      </c>
      <c r="F251" s="2">
        <v>9278.4</v>
      </c>
      <c r="G251">
        <v>45</v>
      </c>
      <c r="H251" t="s">
        <v>29</v>
      </c>
      <c r="I251" s="2">
        <v>4763.1099999999997</v>
      </c>
      <c r="J251" s="2">
        <v>5119.91</v>
      </c>
      <c r="K251" t="s">
        <v>17</v>
      </c>
      <c r="L251" s="5">
        <v>0.28999999999999998</v>
      </c>
      <c r="M251" t="s">
        <v>18</v>
      </c>
      <c r="N251" t="s">
        <v>22</v>
      </c>
      <c r="O251" t="s">
        <v>47</v>
      </c>
      <c r="P251" s="4">
        <f t="shared" si="6"/>
        <v>163581.12449999998</v>
      </c>
      <c r="Q251" s="4">
        <f t="shared" si="7"/>
        <v>-50758.825499999999</v>
      </c>
      <c r="R251" t="str">
        <f>IF( Table1[[#This Row],[Total Amount after sale]] &gt; 0,"PROFIT","LOSS")</f>
        <v>LOSS</v>
      </c>
      <c r="S251" s="3">
        <f>(Table1[[#This Row],[Total Amount after sale]]/Table1[[#This Row],[Price after discount]])</f>
        <v>-0.31029757042659289</v>
      </c>
    </row>
    <row r="252" spans="1:19" x14ac:dyDescent="0.3">
      <c r="A252">
        <v>1009</v>
      </c>
      <c r="B252" s="1">
        <v>45015</v>
      </c>
      <c r="C252" s="1">
        <f>DATE(YEAR(Table1[[#This Row],[Sale_Date]]), MONTH(Table1[[#This Row],[Sale_Date]]), 1)</f>
        <v>44986</v>
      </c>
      <c r="D252" t="s">
        <v>33</v>
      </c>
      <c r="E252" t="s">
        <v>25</v>
      </c>
      <c r="F252" s="2">
        <v>2279.1</v>
      </c>
      <c r="G252">
        <v>10</v>
      </c>
      <c r="H252" t="s">
        <v>29</v>
      </c>
      <c r="I252" s="2">
        <v>4364.3500000000004</v>
      </c>
      <c r="J252" s="2">
        <v>4710.1000000000004</v>
      </c>
      <c r="K252" t="s">
        <v>30</v>
      </c>
      <c r="L252" s="5">
        <v>7.0000000000000007E-2</v>
      </c>
      <c r="M252" t="s">
        <v>31</v>
      </c>
      <c r="N252" t="s">
        <v>19</v>
      </c>
      <c r="O252" t="s">
        <v>44</v>
      </c>
      <c r="P252" s="4">
        <f t="shared" si="6"/>
        <v>43803.93</v>
      </c>
      <c r="Q252" s="4">
        <f t="shared" si="7"/>
        <v>160.42999999999665</v>
      </c>
      <c r="R252" t="str">
        <f>IF( Table1[[#This Row],[Total Amount after sale]] &gt; 0,"PROFIT","LOSS")</f>
        <v>PROFIT</v>
      </c>
      <c r="S252" s="3">
        <f>(Table1[[#This Row],[Total Amount after sale]]/Table1[[#This Row],[Price after discount]])</f>
        <v>3.6624567704312523E-3</v>
      </c>
    </row>
    <row r="253" spans="1:19" x14ac:dyDescent="0.3">
      <c r="A253">
        <v>1047</v>
      </c>
      <c r="B253" s="1">
        <v>45016</v>
      </c>
      <c r="C253" s="1">
        <f>DATE(YEAR(Table1[[#This Row],[Sale_Date]]), MONTH(Table1[[#This Row],[Sale_Date]]), 1)</f>
        <v>44986</v>
      </c>
      <c r="D253" t="s">
        <v>42</v>
      </c>
      <c r="E253" t="s">
        <v>34</v>
      </c>
      <c r="F253" s="2">
        <v>3546.15</v>
      </c>
      <c r="G253">
        <v>37</v>
      </c>
      <c r="H253" t="s">
        <v>35</v>
      </c>
      <c r="I253" s="2">
        <v>3114.88</v>
      </c>
      <c r="J253" s="2">
        <v>3256.78</v>
      </c>
      <c r="K253" t="s">
        <v>17</v>
      </c>
      <c r="L253" s="5">
        <v>0.26</v>
      </c>
      <c r="M253" t="s">
        <v>31</v>
      </c>
      <c r="N253" t="s">
        <v>19</v>
      </c>
      <c r="O253" t="s">
        <v>52</v>
      </c>
      <c r="P253" s="4">
        <f t="shared" si="6"/>
        <v>89170.636400000003</v>
      </c>
      <c r="Q253" s="4">
        <f t="shared" si="7"/>
        <v>-26079.923599999995</v>
      </c>
      <c r="R253" t="str">
        <f>IF( Table1[[#This Row],[Total Amount after sale]] &gt; 0,"PROFIT","LOSS")</f>
        <v>LOSS</v>
      </c>
      <c r="S253" s="3">
        <f>(Table1[[#This Row],[Total Amount after sale]]/Table1[[#This Row],[Price after discount]])</f>
        <v>-0.2924721035185972</v>
      </c>
    </row>
    <row r="254" spans="1:19" x14ac:dyDescent="0.3">
      <c r="A254">
        <v>1016</v>
      </c>
      <c r="B254" s="1">
        <v>45016</v>
      </c>
      <c r="C254" s="1">
        <f>DATE(YEAR(Table1[[#This Row],[Sale_Date]]), MONTH(Table1[[#This Row],[Sale_Date]]), 1)</f>
        <v>44986</v>
      </c>
      <c r="D254" t="s">
        <v>38</v>
      </c>
      <c r="E254" t="s">
        <v>34</v>
      </c>
      <c r="F254" s="2">
        <v>4309.76</v>
      </c>
      <c r="G254">
        <v>38</v>
      </c>
      <c r="H254" t="s">
        <v>35</v>
      </c>
      <c r="I254" s="2">
        <v>3883.38</v>
      </c>
      <c r="J254" s="2">
        <v>4152.72</v>
      </c>
      <c r="K254" t="s">
        <v>17</v>
      </c>
      <c r="L254" s="5">
        <v>0.26</v>
      </c>
      <c r="M254" t="s">
        <v>18</v>
      </c>
      <c r="N254" t="s">
        <v>19</v>
      </c>
      <c r="O254" t="s">
        <v>48</v>
      </c>
      <c r="P254" s="4">
        <f t="shared" si="6"/>
        <v>116774.48639999999</v>
      </c>
      <c r="Q254" s="4">
        <f t="shared" si="7"/>
        <v>-30793.953600000004</v>
      </c>
      <c r="R254" t="str">
        <f>IF( Table1[[#This Row],[Total Amount after sale]] &gt; 0,"PROFIT","LOSS")</f>
        <v>LOSS</v>
      </c>
      <c r="S254" s="3">
        <f>(Table1[[#This Row],[Total Amount after sale]]/Table1[[#This Row],[Price after discount]])</f>
        <v>-0.26370446618380505</v>
      </c>
    </row>
    <row r="255" spans="1:19" x14ac:dyDescent="0.3">
      <c r="A255">
        <v>1004</v>
      </c>
      <c r="B255" s="1">
        <v>45016</v>
      </c>
      <c r="C255" s="1">
        <f>DATE(YEAR(Table1[[#This Row],[Sale_Date]]), MONTH(Table1[[#This Row],[Sale_Date]]), 1)</f>
        <v>44986</v>
      </c>
      <c r="D255" t="s">
        <v>33</v>
      </c>
      <c r="E255" t="s">
        <v>34</v>
      </c>
      <c r="F255" s="2">
        <v>6744.46</v>
      </c>
      <c r="G255">
        <v>12</v>
      </c>
      <c r="H255" t="s">
        <v>29</v>
      </c>
      <c r="I255" s="2">
        <v>4553.2299999999996</v>
      </c>
      <c r="J255" s="2">
        <v>5038.74</v>
      </c>
      <c r="K255" t="s">
        <v>30</v>
      </c>
      <c r="L255" s="5">
        <v>0.09</v>
      </c>
      <c r="M255" t="s">
        <v>31</v>
      </c>
      <c r="N255" t="s">
        <v>22</v>
      </c>
      <c r="O255" t="s">
        <v>36</v>
      </c>
      <c r="P255" s="4">
        <f t="shared" si="6"/>
        <v>55023.040799999995</v>
      </c>
      <c r="Q255" s="4">
        <f t="shared" si="7"/>
        <v>384.28080000000045</v>
      </c>
      <c r="R255" t="str">
        <f>IF( Table1[[#This Row],[Total Amount after sale]] &gt; 0,"PROFIT","LOSS")</f>
        <v>PROFIT</v>
      </c>
      <c r="S255" s="3">
        <f>(Table1[[#This Row],[Total Amount after sale]]/Table1[[#This Row],[Price after discount]])</f>
        <v>6.9839978745776712E-3</v>
      </c>
    </row>
    <row r="256" spans="1:19" x14ac:dyDescent="0.3">
      <c r="A256">
        <v>1025</v>
      </c>
      <c r="B256" s="1">
        <v>45016</v>
      </c>
      <c r="C256" s="1">
        <f>DATE(YEAR(Table1[[#This Row],[Sale_Date]]), MONTH(Table1[[#This Row],[Sale_Date]]), 1)</f>
        <v>44986</v>
      </c>
      <c r="D256" t="s">
        <v>24</v>
      </c>
      <c r="E256" t="s">
        <v>21</v>
      </c>
      <c r="F256" s="2">
        <v>4929.5600000000004</v>
      </c>
      <c r="G256">
        <v>4</v>
      </c>
      <c r="H256" t="s">
        <v>16</v>
      </c>
      <c r="I256" s="2">
        <v>2751.06</v>
      </c>
      <c r="J256" s="2">
        <v>2976.0099999999902</v>
      </c>
      <c r="K256" t="s">
        <v>17</v>
      </c>
      <c r="L256" s="5">
        <v>0.28000000000000003</v>
      </c>
      <c r="M256" t="s">
        <v>31</v>
      </c>
      <c r="N256" t="s">
        <v>19</v>
      </c>
      <c r="O256" t="s">
        <v>47</v>
      </c>
      <c r="P256" s="4">
        <f t="shared" si="6"/>
        <v>8570.908799999972</v>
      </c>
      <c r="Q256" s="4">
        <f t="shared" si="7"/>
        <v>-2433.3312000000278</v>
      </c>
      <c r="R256" t="str">
        <f>IF( Table1[[#This Row],[Total Amount after sale]] &gt; 0,"PROFIT","LOSS")</f>
        <v>LOSS</v>
      </c>
      <c r="S256" s="3">
        <f>(Table1[[#This Row],[Total Amount after sale]]/Table1[[#This Row],[Price after discount]])</f>
        <v>-0.28390585605111512</v>
      </c>
    </row>
    <row r="257" spans="1:19" x14ac:dyDescent="0.3">
      <c r="A257">
        <v>1059</v>
      </c>
      <c r="B257" s="1">
        <v>45018</v>
      </c>
      <c r="C257" s="1">
        <f>DATE(YEAR(Table1[[#This Row],[Sale_Date]]), MONTH(Table1[[#This Row],[Sale_Date]]), 1)</f>
        <v>45017</v>
      </c>
      <c r="D257" t="s">
        <v>38</v>
      </c>
      <c r="E257" t="s">
        <v>21</v>
      </c>
      <c r="F257" s="2">
        <v>3595.2</v>
      </c>
      <c r="G257">
        <v>12</v>
      </c>
      <c r="H257" t="s">
        <v>26</v>
      </c>
      <c r="I257" s="2">
        <v>3496.15</v>
      </c>
      <c r="J257" s="2">
        <v>3955.75</v>
      </c>
      <c r="K257" t="s">
        <v>17</v>
      </c>
      <c r="L257" s="5">
        <v>0.28000000000000003</v>
      </c>
      <c r="M257" t="s">
        <v>18</v>
      </c>
      <c r="N257" t="s">
        <v>22</v>
      </c>
      <c r="O257" t="s">
        <v>41</v>
      </c>
      <c r="P257" s="4">
        <f t="shared" si="6"/>
        <v>34177.68</v>
      </c>
      <c r="Q257" s="4">
        <f t="shared" si="7"/>
        <v>-7776.1200000000026</v>
      </c>
      <c r="R257" t="str">
        <f>IF( Table1[[#This Row],[Total Amount after sale]] &gt; 0,"PROFIT","LOSS")</f>
        <v>LOSS</v>
      </c>
      <c r="S257" s="3">
        <f>(Table1[[#This Row],[Total Amount after sale]]/Table1[[#This Row],[Price after discount]])</f>
        <v>-0.22752041683344226</v>
      </c>
    </row>
    <row r="258" spans="1:19" x14ac:dyDescent="0.3">
      <c r="A258">
        <v>1048</v>
      </c>
      <c r="B258" s="1">
        <v>45018</v>
      </c>
      <c r="C258" s="1">
        <f>DATE(YEAR(Table1[[#This Row],[Sale_Date]]), MONTH(Table1[[#This Row],[Sale_Date]]), 1)</f>
        <v>45017</v>
      </c>
      <c r="D258" t="s">
        <v>24</v>
      </c>
      <c r="E258" t="s">
        <v>25</v>
      </c>
      <c r="F258" s="2">
        <v>9673.65</v>
      </c>
      <c r="G258">
        <v>45</v>
      </c>
      <c r="H258" t="s">
        <v>35</v>
      </c>
      <c r="I258" s="2">
        <v>4262.21</v>
      </c>
      <c r="J258" s="2">
        <v>4533.3100000000004</v>
      </c>
      <c r="K258" t="s">
        <v>17</v>
      </c>
      <c r="L258" s="5">
        <v>0.27</v>
      </c>
      <c r="M258" t="s">
        <v>31</v>
      </c>
      <c r="N258" t="s">
        <v>19</v>
      </c>
      <c r="O258" t="s">
        <v>28</v>
      </c>
      <c r="P258" s="4">
        <f t="shared" ref="P258:P321" si="8" xml:space="preserve"> J258 * (1 - L258) * G258</f>
        <v>148919.23350000003</v>
      </c>
      <c r="Q258" s="4">
        <f t="shared" ref="Q258:Q321" si="9" xml:space="preserve"> (J258 * (1 - L258) - I258) * G258</f>
        <v>-42880.21649999998</v>
      </c>
      <c r="R258" t="str">
        <f>IF( Table1[[#This Row],[Total Amount after sale]] &gt; 0,"PROFIT","LOSS")</f>
        <v>LOSS</v>
      </c>
      <c r="S258" s="3">
        <f>(Table1[[#This Row],[Total Amount after sale]]/Table1[[#This Row],[Price after discount]])</f>
        <v>-0.28794276932670332</v>
      </c>
    </row>
    <row r="259" spans="1:19" x14ac:dyDescent="0.3">
      <c r="A259">
        <v>1062</v>
      </c>
      <c r="B259" s="1">
        <v>45018</v>
      </c>
      <c r="C259" s="1">
        <f>DATE(YEAR(Table1[[#This Row],[Sale_Date]]), MONTH(Table1[[#This Row],[Sale_Date]]), 1)</f>
        <v>45017</v>
      </c>
      <c r="D259" t="s">
        <v>14</v>
      </c>
      <c r="E259" t="s">
        <v>34</v>
      </c>
      <c r="F259" s="2">
        <v>6991.95</v>
      </c>
      <c r="G259">
        <v>10</v>
      </c>
      <c r="H259" t="s">
        <v>29</v>
      </c>
      <c r="I259" s="2">
        <v>1524.88</v>
      </c>
      <c r="J259" s="2">
        <v>1636.14</v>
      </c>
      <c r="K259" t="s">
        <v>30</v>
      </c>
      <c r="L259" s="5">
        <v>0.2</v>
      </c>
      <c r="M259" t="s">
        <v>27</v>
      </c>
      <c r="N259" t="s">
        <v>19</v>
      </c>
      <c r="O259" t="s">
        <v>46</v>
      </c>
      <c r="P259" s="4">
        <f t="shared" si="8"/>
        <v>13089.120000000003</v>
      </c>
      <c r="Q259" s="4">
        <f t="shared" si="9"/>
        <v>-2159.6799999999985</v>
      </c>
      <c r="R259" t="str">
        <f>IF( Table1[[#This Row],[Total Amount after sale]] &gt; 0,"PROFIT","LOSS")</f>
        <v>LOSS</v>
      </c>
      <c r="S259" s="3">
        <f>(Table1[[#This Row],[Total Amount after sale]]/Table1[[#This Row],[Price after discount]])</f>
        <v>-0.1649981052966126</v>
      </c>
    </row>
    <row r="260" spans="1:19" x14ac:dyDescent="0.3">
      <c r="A260">
        <v>1005</v>
      </c>
      <c r="B260" s="1">
        <v>45018</v>
      </c>
      <c r="C260" s="1">
        <f>DATE(YEAR(Table1[[#This Row],[Sale_Date]]), MONTH(Table1[[#This Row],[Sale_Date]]), 1)</f>
        <v>45017</v>
      </c>
      <c r="D260" t="s">
        <v>24</v>
      </c>
      <c r="E260" t="s">
        <v>25</v>
      </c>
      <c r="F260" s="2">
        <v>1646.45</v>
      </c>
      <c r="G260">
        <v>46</v>
      </c>
      <c r="H260" t="s">
        <v>16</v>
      </c>
      <c r="I260" s="2">
        <v>4691.42</v>
      </c>
      <c r="J260" s="2">
        <v>5026.1899999999996</v>
      </c>
      <c r="K260" t="s">
        <v>17</v>
      </c>
      <c r="L260" s="5">
        <v>0.22</v>
      </c>
      <c r="M260" t="s">
        <v>27</v>
      </c>
      <c r="N260" t="s">
        <v>22</v>
      </c>
      <c r="O260" t="s">
        <v>28</v>
      </c>
      <c r="P260" s="4">
        <f t="shared" si="8"/>
        <v>180339.6972</v>
      </c>
      <c r="Q260" s="4">
        <f t="shared" si="9"/>
        <v>-35465.622800000012</v>
      </c>
      <c r="R260" t="str">
        <f>IF( Table1[[#This Row],[Total Amount after sale]] &gt; 0,"PROFIT","LOSS")</f>
        <v>LOSS</v>
      </c>
      <c r="S260" s="3">
        <f>(Table1[[#This Row],[Total Amount after sale]]/Table1[[#This Row],[Price after discount]])</f>
        <v>-0.19666009952688338</v>
      </c>
    </row>
    <row r="261" spans="1:19" x14ac:dyDescent="0.3">
      <c r="A261">
        <v>1034</v>
      </c>
      <c r="B261" s="1">
        <v>45018</v>
      </c>
      <c r="C261" s="1">
        <f>DATE(YEAR(Table1[[#This Row],[Sale_Date]]), MONTH(Table1[[#This Row],[Sale_Date]]), 1)</f>
        <v>45017</v>
      </c>
      <c r="D261" t="s">
        <v>33</v>
      </c>
      <c r="E261" t="s">
        <v>21</v>
      </c>
      <c r="F261" s="2">
        <v>2184.02</v>
      </c>
      <c r="G261">
        <v>7</v>
      </c>
      <c r="H261" t="s">
        <v>35</v>
      </c>
      <c r="I261" s="2">
        <v>2492.36</v>
      </c>
      <c r="J261" s="2">
        <v>2738.68</v>
      </c>
      <c r="K261" t="s">
        <v>17</v>
      </c>
      <c r="L261" s="5">
        <v>0.11</v>
      </c>
      <c r="M261" t="s">
        <v>18</v>
      </c>
      <c r="N261" t="s">
        <v>19</v>
      </c>
      <c r="O261" t="s">
        <v>37</v>
      </c>
      <c r="P261" s="4">
        <f t="shared" si="8"/>
        <v>17061.9764</v>
      </c>
      <c r="Q261" s="4">
        <f t="shared" si="9"/>
        <v>-384.54360000000315</v>
      </c>
      <c r="R261" t="str">
        <f>IF( Table1[[#This Row],[Total Amount after sale]] &gt; 0,"PROFIT","LOSS")</f>
        <v>LOSS</v>
      </c>
      <c r="S261" s="3">
        <f>(Table1[[#This Row],[Total Amount after sale]]/Table1[[#This Row],[Price after discount]])</f>
        <v>-2.2538045475200819E-2</v>
      </c>
    </row>
    <row r="262" spans="1:19" x14ac:dyDescent="0.3">
      <c r="A262">
        <v>1095</v>
      </c>
      <c r="B262" s="1">
        <v>45019</v>
      </c>
      <c r="C262" s="1">
        <f>DATE(YEAR(Table1[[#This Row],[Sale_Date]]), MONTH(Table1[[#This Row],[Sale_Date]]), 1)</f>
        <v>45017</v>
      </c>
      <c r="D262" t="s">
        <v>33</v>
      </c>
      <c r="E262" t="s">
        <v>34</v>
      </c>
      <c r="F262" s="2">
        <v>5873.59</v>
      </c>
      <c r="G262">
        <v>9</v>
      </c>
      <c r="H262" t="s">
        <v>26</v>
      </c>
      <c r="I262" s="2">
        <v>2650.95</v>
      </c>
      <c r="J262" s="2">
        <v>2860.4199999999901</v>
      </c>
      <c r="K262" t="s">
        <v>30</v>
      </c>
      <c r="L262" s="5">
        <v>0.12</v>
      </c>
      <c r="M262" t="s">
        <v>18</v>
      </c>
      <c r="N262" t="s">
        <v>22</v>
      </c>
      <c r="O262" t="s">
        <v>36</v>
      </c>
      <c r="P262" s="4">
        <f t="shared" si="8"/>
        <v>22654.526399999919</v>
      </c>
      <c r="Q262" s="4">
        <f t="shared" si="9"/>
        <v>-1204.0236000000787</v>
      </c>
      <c r="R262" t="str">
        <f>IF( Table1[[#This Row],[Total Amount after sale]] &gt; 0,"PROFIT","LOSS")</f>
        <v>LOSS</v>
      </c>
      <c r="S262" s="3">
        <f>(Table1[[#This Row],[Total Amount after sale]]/Table1[[#This Row],[Price after discount]])</f>
        <v>-5.3147153850900318E-2</v>
      </c>
    </row>
    <row r="263" spans="1:19" x14ac:dyDescent="0.3">
      <c r="A263">
        <v>1099</v>
      </c>
      <c r="B263" s="1">
        <v>45019</v>
      </c>
      <c r="C263" s="1">
        <f>DATE(YEAR(Table1[[#This Row],[Sale_Date]]), MONTH(Table1[[#This Row],[Sale_Date]]), 1)</f>
        <v>45017</v>
      </c>
      <c r="D263" t="s">
        <v>42</v>
      </c>
      <c r="E263" t="s">
        <v>15</v>
      </c>
      <c r="F263" s="2">
        <v>2571.7199999999998</v>
      </c>
      <c r="G263">
        <v>30</v>
      </c>
      <c r="H263" t="s">
        <v>16</v>
      </c>
      <c r="I263" s="2">
        <v>4495.82</v>
      </c>
      <c r="J263" s="2">
        <v>4794.0099999999902</v>
      </c>
      <c r="K263" t="s">
        <v>30</v>
      </c>
      <c r="L263" s="5">
        <v>0.18</v>
      </c>
      <c r="M263" t="s">
        <v>27</v>
      </c>
      <c r="N263" t="s">
        <v>22</v>
      </c>
      <c r="O263" t="s">
        <v>49</v>
      </c>
      <c r="P263" s="4">
        <f t="shared" si="8"/>
        <v>117932.64599999978</v>
      </c>
      <c r="Q263" s="4">
        <f t="shared" si="9"/>
        <v>-16941.95400000022</v>
      </c>
      <c r="R263" t="str">
        <f>IF( Table1[[#This Row],[Total Amount after sale]] &gt; 0,"PROFIT","LOSS")</f>
        <v>LOSS</v>
      </c>
      <c r="S263" s="3">
        <f>(Table1[[#This Row],[Total Amount after sale]]/Table1[[#This Row],[Price after discount]])</f>
        <v>-0.14365788078731187</v>
      </c>
    </row>
    <row r="264" spans="1:19" x14ac:dyDescent="0.3">
      <c r="A264">
        <v>1051</v>
      </c>
      <c r="B264" s="1">
        <v>45020</v>
      </c>
      <c r="C264" s="1">
        <f>DATE(YEAR(Table1[[#This Row],[Sale_Date]]), MONTH(Table1[[#This Row],[Sale_Date]]), 1)</f>
        <v>45017</v>
      </c>
      <c r="D264" t="s">
        <v>14</v>
      </c>
      <c r="E264" t="s">
        <v>34</v>
      </c>
      <c r="F264" s="2">
        <v>198.25</v>
      </c>
      <c r="G264">
        <v>12</v>
      </c>
      <c r="H264" t="s">
        <v>35</v>
      </c>
      <c r="I264" s="2">
        <v>3544.48</v>
      </c>
      <c r="J264" s="2">
        <v>3723.66</v>
      </c>
      <c r="K264" t="s">
        <v>17</v>
      </c>
      <c r="L264" s="5">
        <v>0.19</v>
      </c>
      <c r="M264" t="s">
        <v>18</v>
      </c>
      <c r="N264" t="s">
        <v>19</v>
      </c>
      <c r="O264" t="s">
        <v>46</v>
      </c>
      <c r="P264" s="4">
        <f t="shared" si="8"/>
        <v>36193.975200000001</v>
      </c>
      <c r="Q264" s="4">
        <f t="shared" si="9"/>
        <v>-6339.7847999999994</v>
      </c>
      <c r="R264" t="str">
        <f>IF( Table1[[#This Row],[Total Amount after sale]] &gt; 0,"PROFIT","LOSS")</f>
        <v>LOSS</v>
      </c>
      <c r="S264" s="3">
        <f>(Table1[[#This Row],[Total Amount after sale]]/Table1[[#This Row],[Price after discount]])</f>
        <v>-0.17516132906009174</v>
      </c>
    </row>
    <row r="265" spans="1:19" x14ac:dyDescent="0.3">
      <c r="A265">
        <v>1078</v>
      </c>
      <c r="B265" s="1">
        <v>45020</v>
      </c>
      <c r="C265" s="1">
        <f>DATE(YEAR(Table1[[#This Row],[Sale_Date]]), MONTH(Table1[[#This Row],[Sale_Date]]), 1)</f>
        <v>45017</v>
      </c>
      <c r="D265" t="s">
        <v>24</v>
      </c>
      <c r="E265" t="s">
        <v>34</v>
      </c>
      <c r="F265" s="2">
        <v>9631.41</v>
      </c>
      <c r="G265">
        <v>49</v>
      </c>
      <c r="H265" t="s">
        <v>16</v>
      </c>
      <c r="I265" s="2">
        <v>1833.95</v>
      </c>
      <c r="J265" s="2">
        <v>2147.14</v>
      </c>
      <c r="K265" t="s">
        <v>17</v>
      </c>
      <c r="L265" s="5">
        <v>0.18</v>
      </c>
      <c r="M265" t="s">
        <v>31</v>
      </c>
      <c r="N265" t="s">
        <v>22</v>
      </c>
      <c r="O265" t="s">
        <v>50</v>
      </c>
      <c r="P265" s="4">
        <f t="shared" si="8"/>
        <v>86272.085200000001</v>
      </c>
      <c r="Q265" s="4">
        <f t="shared" si="9"/>
        <v>-3591.4648000000011</v>
      </c>
      <c r="R265" t="str">
        <f>IF( Table1[[#This Row],[Total Amount after sale]] &gt; 0,"PROFIT","LOSS")</f>
        <v>LOSS</v>
      </c>
      <c r="S265" s="3">
        <f>(Table1[[#This Row],[Total Amount after sale]]/Table1[[#This Row],[Price after discount]])</f>
        <v>-4.1629511929311767E-2</v>
      </c>
    </row>
    <row r="266" spans="1:19" x14ac:dyDescent="0.3">
      <c r="A266">
        <v>1058</v>
      </c>
      <c r="B266" s="1">
        <v>45021</v>
      </c>
      <c r="C266" s="1">
        <f>DATE(YEAR(Table1[[#This Row],[Sale_Date]]), MONTH(Table1[[#This Row],[Sale_Date]]), 1)</f>
        <v>45017</v>
      </c>
      <c r="D266" t="s">
        <v>42</v>
      </c>
      <c r="E266" t="s">
        <v>15</v>
      </c>
      <c r="F266" s="2">
        <v>2072.23</v>
      </c>
      <c r="G266">
        <v>33</v>
      </c>
      <c r="H266" t="s">
        <v>16</v>
      </c>
      <c r="I266" s="2">
        <v>1011.65</v>
      </c>
      <c r="J266" s="2">
        <v>1084.28</v>
      </c>
      <c r="K266" t="s">
        <v>17</v>
      </c>
      <c r="L266" s="5">
        <v>7.0000000000000007E-2</v>
      </c>
      <c r="M266" t="s">
        <v>27</v>
      </c>
      <c r="N266" t="s">
        <v>22</v>
      </c>
      <c r="O266" t="s">
        <v>49</v>
      </c>
      <c r="P266" s="4">
        <f t="shared" si="8"/>
        <v>33276.553199999995</v>
      </c>
      <c r="Q266" s="4">
        <f t="shared" si="9"/>
        <v>-107.89680000000271</v>
      </c>
      <c r="R266" t="str">
        <f>IF( Table1[[#This Row],[Total Amount after sale]] &gt; 0,"PROFIT","LOSS")</f>
        <v>LOSS</v>
      </c>
      <c r="S266" s="3">
        <f>(Table1[[#This Row],[Total Amount after sale]]/Table1[[#This Row],[Price after discount]])</f>
        <v>-3.242427163399926E-3</v>
      </c>
    </row>
    <row r="267" spans="1:19" x14ac:dyDescent="0.3">
      <c r="A267">
        <v>1087</v>
      </c>
      <c r="B267" s="1">
        <v>45021</v>
      </c>
      <c r="C267" s="1">
        <f>DATE(YEAR(Table1[[#This Row],[Sale_Date]]), MONTH(Table1[[#This Row],[Sale_Date]]), 1)</f>
        <v>45017</v>
      </c>
      <c r="D267" t="s">
        <v>38</v>
      </c>
      <c r="E267" t="s">
        <v>34</v>
      </c>
      <c r="F267" s="2">
        <v>848.49</v>
      </c>
      <c r="G267">
        <v>43</v>
      </c>
      <c r="H267" t="s">
        <v>16</v>
      </c>
      <c r="I267" s="2">
        <v>481</v>
      </c>
      <c r="J267" s="2">
        <v>531.02</v>
      </c>
      <c r="K267" t="s">
        <v>30</v>
      </c>
      <c r="L267" s="5">
        <v>0.17</v>
      </c>
      <c r="M267" t="s">
        <v>18</v>
      </c>
      <c r="N267" t="s">
        <v>19</v>
      </c>
      <c r="O267" t="s">
        <v>48</v>
      </c>
      <c r="P267" s="4">
        <f t="shared" si="8"/>
        <v>18952.103799999997</v>
      </c>
      <c r="Q267" s="4">
        <f t="shared" si="9"/>
        <v>-1730.8962000000024</v>
      </c>
      <c r="R267" t="str">
        <f>IF( Table1[[#This Row],[Total Amount after sale]] &gt; 0,"PROFIT","LOSS")</f>
        <v>LOSS</v>
      </c>
      <c r="S267" s="3">
        <f>(Table1[[#This Row],[Total Amount after sale]]/Table1[[#This Row],[Price after discount]])</f>
        <v>-9.1330029545321642E-2</v>
      </c>
    </row>
    <row r="268" spans="1:19" x14ac:dyDescent="0.3">
      <c r="A268">
        <v>1062</v>
      </c>
      <c r="B268" s="1">
        <v>45021</v>
      </c>
      <c r="C268" s="1">
        <f>DATE(YEAR(Table1[[#This Row],[Sale_Date]]), MONTH(Table1[[#This Row],[Sale_Date]]), 1)</f>
        <v>45017</v>
      </c>
      <c r="D268" t="s">
        <v>14</v>
      </c>
      <c r="E268" t="s">
        <v>15</v>
      </c>
      <c r="F268" s="2">
        <v>2959.96</v>
      </c>
      <c r="G268">
        <v>48</v>
      </c>
      <c r="H268" t="s">
        <v>26</v>
      </c>
      <c r="I268" s="2">
        <v>2487.19</v>
      </c>
      <c r="J268" s="2">
        <v>2521.4499999999998</v>
      </c>
      <c r="K268" t="s">
        <v>30</v>
      </c>
      <c r="L268" s="5">
        <v>0.28999999999999998</v>
      </c>
      <c r="M268" t="s">
        <v>18</v>
      </c>
      <c r="N268" t="s">
        <v>19</v>
      </c>
      <c r="O268" t="s">
        <v>20</v>
      </c>
      <c r="P268" s="4">
        <f t="shared" si="8"/>
        <v>85931.015999999989</v>
      </c>
      <c r="Q268" s="4">
        <f t="shared" si="9"/>
        <v>-33454.104000000021</v>
      </c>
      <c r="R268" t="str">
        <f>IF( Table1[[#This Row],[Total Amount after sale]] &gt; 0,"PROFIT","LOSS")</f>
        <v>LOSS</v>
      </c>
      <c r="S268" s="3">
        <f>(Table1[[#This Row],[Total Amount after sale]]/Table1[[#This Row],[Price after discount]])</f>
        <v>-0.38931349304656221</v>
      </c>
    </row>
    <row r="269" spans="1:19" x14ac:dyDescent="0.3">
      <c r="A269">
        <v>1052</v>
      </c>
      <c r="B269" s="1">
        <v>45021</v>
      </c>
      <c r="C269" s="1">
        <f>DATE(YEAR(Table1[[#This Row],[Sale_Date]]), MONTH(Table1[[#This Row],[Sale_Date]]), 1)</f>
        <v>45017</v>
      </c>
      <c r="D269" t="s">
        <v>33</v>
      </c>
      <c r="E269" t="s">
        <v>25</v>
      </c>
      <c r="F269" s="2">
        <v>4744.16</v>
      </c>
      <c r="G269">
        <v>26</v>
      </c>
      <c r="H269" t="s">
        <v>29</v>
      </c>
      <c r="I269" s="2">
        <v>4771.99</v>
      </c>
      <c r="J269" s="2">
        <v>5079.6499999999996</v>
      </c>
      <c r="K269" t="s">
        <v>30</v>
      </c>
      <c r="L269" s="5">
        <v>0.28999999999999998</v>
      </c>
      <c r="M269" t="s">
        <v>31</v>
      </c>
      <c r="N269" t="s">
        <v>19</v>
      </c>
      <c r="O269" t="s">
        <v>44</v>
      </c>
      <c r="P269" s="4">
        <f t="shared" si="8"/>
        <v>93770.338999999993</v>
      </c>
      <c r="Q269" s="4">
        <f t="shared" si="9"/>
        <v>-30301.401000000005</v>
      </c>
      <c r="R269" t="str">
        <f>IF( Table1[[#This Row],[Total Amount after sale]] &gt; 0,"PROFIT","LOSS")</f>
        <v>LOSS</v>
      </c>
      <c r="S269" s="3">
        <f>(Table1[[#This Row],[Total Amount after sale]]/Table1[[#This Row],[Price after discount]])</f>
        <v>-0.32314483794283827</v>
      </c>
    </row>
    <row r="270" spans="1:19" x14ac:dyDescent="0.3">
      <c r="A270">
        <v>1086</v>
      </c>
      <c r="B270" s="1">
        <v>45022</v>
      </c>
      <c r="C270" s="1">
        <f>DATE(YEAR(Table1[[#This Row],[Sale_Date]]), MONTH(Table1[[#This Row],[Sale_Date]]), 1)</f>
        <v>45017</v>
      </c>
      <c r="D270" t="s">
        <v>33</v>
      </c>
      <c r="E270" t="s">
        <v>21</v>
      </c>
      <c r="F270" s="2">
        <v>7212.69</v>
      </c>
      <c r="G270">
        <v>32</v>
      </c>
      <c r="H270" t="s">
        <v>35</v>
      </c>
      <c r="I270" s="2">
        <v>3743.59</v>
      </c>
      <c r="J270" s="2">
        <v>4116.38</v>
      </c>
      <c r="K270" t="s">
        <v>17</v>
      </c>
      <c r="L270" s="5">
        <v>0.11</v>
      </c>
      <c r="M270" t="s">
        <v>18</v>
      </c>
      <c r="N270" t="s">
        <v>19</v>
      </c>
      <c r="O270" t="s">
        <v>37</v>
      </c>
      <c r="P270" s="4">
        <f t="shared" si="8"/>
        <v>117234.50240000001</v>
      </c>
      <c r="Q270" s="4">
        <f t="shared" si="9"/>
        <v>-2560.3775999999925</v>
      </c>
      <c r="R270" t="str">
        <f>IF( Table1[[#This Row],[Total Amount after sale]] &gt; 0,"PROFIT","LOSS")</f>
        <v>LOSS</v>
      </c>
      <c r="S270" s="3">
        <f>(Table1[[#This Row],[Total Amount after sale]]/Table1[[#This Row],[Price after discount]])</f>
        <v>-2.1839795858595228E-2</v>
      </c>
    </row>
    <row r="271" spans="1:19" x14ac:dyDescent="0.3">
      <c r="A271">
        <v>1026</v>
      </c>
      <c r="B271" s="1">
        <v>45022</v>
      </c>
      <c r="C271" s="1">
        <f>DATE(YEAR(Table1[[#This Row],[Sale_Date]]), MONTH(Table1[[#This Row],[Sale_Date]]), 1)</f>
        <v>45017</v>
      </c>
      <c r="D271" t="s">
        <v>14</v>
      </c>
      <c r="E271" t="s">
        <v>25</v>
      </c>
      <c r="F271" s="2">
        <v>927.19</v>
      </c>
      <c r="G271">
        <v>4</v>
      </c>
      <c r="H271" t="s">
        <v>35</v>
      </c>
      <c r="I271" s="2">
        <v>3993.39</v>
      </c>
      <c r="J271" s="2">
        <v>4288.3</v>
      </c>
      <c r="K271" t="s">
        <v>30</v>
      </c>
      <c r="L271" s="5">
        <v>0.13</v>
      </c>
      <c r="M271" t="s">
        <v>31</v>
      </c>
      <c r="N271" t="s">
        <v>19</v>
      </c>
      <c r="O271" t="s">
        <v>32</v>
      </c>
      <c r="P271" s="4">
        <f t="shared" si="8"/>
        <v>14923.284</v>
      </c>
      <c r="Q271" s="4">
        <f t="shared" si="9"/>
        <v>-1050.2759999999998</v>
      </c>
      <c r="R271" t="str">
        <f>IF( Table1[[#This Row],[Total Amount after sale]] &gt; 0,"PROFIT","LOSS")</f>
        <v>LOSS</v>
      </c>
      <c r="S271" s="3">
        <f>(Table1[[#This Row],[Total Amount after sale]]/Table1[[#This Row],[Price after discount]])</f>
        <v>-7.0378342997426027E-2</v>
      </c>
    </row>
    <row r="272" spans="1:19" x14ac:dyDescent="0.3">
      <c r="A272">
        <v>1068</v>
      </c>
      <c r="B272" s="1">
        <v>45022</v>
      </c>
      <c r="C272" s="1">
        <f>DATE(YEAR(Table1[[#This Row],[Sale_Date]]), MONTH(Table1[[#This Row],[Sale_Date]]), 1)</f>
        <v>45017</v>
      </c>
      <c r="D272" t="s">
        <v>42</v>
      </c>
      <c r="E272" t="s">
        <v>25</v>
      </c>
      <c r="F272" s="2">
        <v>9093.5</v>
      </c>
      <c r="G272">
        <v>31</v>
      </c>
      <c r="H272" t="s">
        <v>29</v>
      </c>
      <c r="I272" s="2">
        <v>3169.37</v>
      </c>
      <c r="J272" s="2">
        <v>3304.15</v>
      </c>
      <c r="K272" t="s">
        <v>17</v>
      </c>
      <c r="L272" s="5">
        <v>0.25</v>
      </c>
      <c r="M272" t="s">
        <v>31</v>
      </c>
      <c r="N272" t="s">
        <v>22</v>
      </c>
      <c r="O272" t="s">
        <v>43</v>
      </c>
      <c r="P272" s="4">
        <f t="shared" si="8"/>
        <v>76821.487500000003</v>
      </c>
      <c r="Q272" s="4">
        <f t="shared" si="9"/>
        <v>-21428.982499999991</v>
      </c>
      <c r="R272" t="str">
        <f>IF( Table1[[#This Row],[Total Amount after sale]] &gt; 0,"PROFIT","LOSS")</f>
        <v>LOSS</v>
      </c>
      <c r="S272" s="3">
        <f>(Table1[[#This Row],[Total Amount after sale]]/Table1[[#This Row],[Price after discount]])</f>
        <v>-0.27894516491886451</v>
      </c>
    </row>
    <row r="273" spans="1:19" x14ac:dyDescent="0.3">
      <c r="A273">
        <v>1051</v>
      </c>
      <c r="B273" s="1">
        <v>45023</v>
      </c>
      <c r="C273" s="1">
        <f>DATE(YEAR(Table1[[#This Row],[Sale_Date]]), MONTH(Table1[[#This Row],[Sale_Date]]), 1)</f>
        <v>45017</v>
      </c>
      <c r="D273" t="s">
        <v>42</v>
      </c>
      <c r="E273" t="s">
        <v>21</v>
      </c>
      <c r="F273" s="2">
        <v>5262.45</v>
      </c>
      <c r="G273">
        <v>23</v>
      </c>
      <c r="H273" t="s">
        <v>35</v>
      </c>
      <c r="I273" s="2">
        <v>3325.43</v>
      </c>
      <c r="J273" s="2">
        <v>3401.1</v>
      </c>
      <c r="K273" t="s">
        <v>30</v>
      </c>
      <c r="L273" s="5">
        <v>0.1</v>
      </c>
      <c r="M273" t="s">
        <v>18</v>
      </c>
      <c r="N273" t="s">
        <v>19</v>
      </c>
      <c r="O273" t="s">
        <v>51</v>
      </c>
      <c r="P273" s="4">
        <f t="shared" si="8"/>
        <v>70402.76999999999</v>
      </c>
      <c r="Q273" s="4">
        <f t="shared" si="9"/>
        <v>-6082.1200000000008</v>
      </c>
      <c r="R273" t="str">
        <f>IF( Table1[[#This Row],[Total Amount after sale]] &gt; 0,"PROFIT","LOSS")</f>
        <v>LOSS</v>
      </c>
      <c r="S273" s="3">
        <f>(Table1[[#This Row],[Total Amount after sale]]/Table1[[#This Row],[Price after discount]])</f>
        <v>-8.6390350834207263E-2</v>
      </c>
    </row>
    <row r="274" spans="1:19" x14ac:dyDescent="0.3">
      <c r="A274">
        <v>1033</v>
      </c>
      <c r="B274" s="1">
        <v>45023</v>
      </c>
      <c r="C274" s="1">
        <f>DATE(YEAR(Table1[[#This Row],[Sale_Date]]), MONTH(Table1[[#This Row],[Sale_Date]]), 1)</f>
        <v>45017</v>
      </c>
      <c r="D274" t="s">
        <v>14</v>
      </c>
      <c r="E274" t="s">
        <v>34</v>
      </c>
      <c r="F274" s="2">
        <v>5509.66</v>
      </c>
      <c r="G274">
        <v>4</v>
      </c>
      <c r="H274" t="s">
        <v>26</v>
      </c>
      <c r="I274" s="2">
        <v>2000.75</v>
      </c>
      <c r="J274" s="2">
        <v>2426.9899999999998</v>
      </c>
      <c r="K274" t="s">
        <v>17</v>
      </c>
      <c r="L274" s="5">
        <v>0.17</v>
      </c>
      <c r="M274" t="s">
        <v>27</v>
      </c>
      <c r="N274" t="s">
        <v>19</v>
      </c>
      <c r="O274" t="s">
        <v>46</v>
      </c>
      <c r="P274" s="4">
        <f t="shared" si="8"/>
        <v>8057.6067999999987</v>
      </c>
      <c r="Q274" s="4">
        <f t="shared" si="9"/>
        <v>54.606799999998657</v>
      </c>
      <c r="R274" t="str">
        <f>IF( Table1[[#This Row],[Total Amount after sale]] &gt; 0,"PROFIT","LOSS")</f>
        <v>PROFIT</v>
      </c>
      <c r="S274" s="3">
        <f>(Table1[[#This Row],[Total Amount after sale]]/Table1[[#This Row],[Price after discount]])</f>
        <v>6.7770494832285269E-3</v>
      </c>
    </row>
    <row r="275" spans="1:19" x14ac:dyDescent="0.3">
      <c r="A275">
        <v>1009</v>
      </c>
      <c r="B275" s="1">
        <v>45024</v>
      </c>
      <c r="C275" s="1">
        <f>DATE(YEAR(Table1[[#This Row],[Sale_Date]]), MONTH(Table1[[#This Row],[Sale_Date]]), 1)</f>
        <v>45017</v>
      </c>
      <c r="D275" t="s">
        <v>33</v>
      </c>
      <c r="E275" t="s">
        <v>25</v>
      </c>
      <c r="F275" s="2">
        <v>2945.87</v>
      </c>
      <c r="G275">
        <v>32</v>
      </c>
      <c r="H275" t="s">
        <v>29</v>
      </c>
      <c r="I275" s="2">
        <v>3219.88</v>
      </c>
      <c r="J275" s="2">
        <v>3384.5</v>
      </c>
      <c r="K275" t="s">
        <v>17</v>
      </c>
      <c r="L275" s="5">
        <v>0.14000000000000001</v>
      </c>
      <c r="M275" t="s">
        <v>18</v>
      </c>
      <c r="N275" t="s">
        <v>22</v>
      </c>
      <c r="O275" t="s">
        <v>44</v>
      </c>
      <c r="P275" s="4">
        <f t="shared" si="8"/>
        <v>93141.440000000002</v>
      </c>
      <c r="Q275" s="4">
        <f t="shared" si="9"/>
        <v>-9894.7200000000012</v>
      </c>
      <c r="R275" t="str">
        <f>IF( Table1[[#This Row],[Total Amount after sale]] &gt; 0,"PROFIT","LOSS")</f>
        <v>LOSS</v>
      </c>
      <c r="S275" s="3">
        <f>(Table1[[#This Row],[Total Amount after sale]]/Table1[[#This Row],[Price after discount]])</f>
        <v>-0.10623327275163451</v>
      </c>
    </row>
    <row r="276" spans="1:19" x14ac:dyDescent="0.3">
      <c r="A276">
        <v>1098</v>
      </c>
      <c r="B276" s="1">
        <v>45024</v>
      </c>
      <c r="C276" s="1">
        <f>DATE(YEAR(Table1[[#This Row],[Sale_Date]]), MONTH(Table1[[#This Row],[Sale_Date]]), 1)</f>
        <v>45017</v>
      </c>
      <c r="D276" t="s">
        <v>38</v>
      </c>
      <c r="E276" t="s">
        <v>15</v>
      </c>
      <c r="F276" s="2">
        <v>9452.89</v>
      </c>
      <c r="G276">
        <v>5</v>
      </c>
      <c r="H276" t="s">
        <v>35</v>
      </c>
      <c r="I276" s="2">
        <v>2947.22</v>
      </c>
      <c r="J276" s="2">
        <v>3145.27</v>
      </c>
      <c r="K276" t="s">
        <v>30</v>
      </c>
      <c r="L276" s="5">
        <v>0.1</v>
      </c>
      <c r="M276" t="s">
        <v>31</v>
      </c>
      <c r="N276" t="s">
        <v>22</v>
      </c>
      <c r="O276" t="s">
        <v>40</v>
      </c>
      <c r="P276" s="4">
        <f t="shared" si="8"/>
        <v>14153.715</v>
      </c>
      <c r="Q276" s="4">
        <f t="shared" si="9"/>
        <v>-582.38499999999931</v>
      </c>
      <c r="R276" t="str">
        <f>IF( Table1[[#This Row],[Total Amount after sale]] &gt; 0,"PROFIT","LOSS")</f>
        <v>LOSS</v>
      </c>
      <c r="S276" s="3">
        <f>(Table1[[#This Row],[Total Amount after sale]]/Table1[[#This Row],[Price after discount]])</f>
        <v>-4.114714758634036E-2</v>
      </c>
    </row>
    <row r="277" spans="1:19" x14ac:dyDescent="0.3">
      <c r="A277">
        <v>1096</v>
      </c>
      <c r="B277" s="1">
        <v>45024</v>
      </c>
      <c r="C277" s="1">
        <f>DATE(YEAR(Table1[[#This Row],[Sale_Date]]), MONTH(Table1[[#This Row],[Sale_Date]]), 1)</f>
        <v>45017</v>
      </c>
      <c r="D277" t="s">
        <v>33</v>
      </c>
      <c r="E277" t="s">
        <v>25</v>
      </c>
      <c r="F277" s="2">
        <v>5935.59</v>
      </c>
      <c r="G277">
        <v>45</v>
      </c>
      <c r="H277" t="s">
        <v>29</v>
      </c>
      <c r="I277" s="2">
        <v>357.92</v>
      </c>
      <c r="J277" s="2">
        <v>461.3</v>
      </c>
      <c r="K277" t="s">
        <v>17</v>
      </c>
      <c r="L277" s="5">
        <v>0.28000000000000003</v>
      </c>
      <c r="M277" t="s">
        <v>18</v>
      </c>
      <c r="N277" t="s">
        <v>19</v>
      </c>
      <c r="O277" t="s">
        <v>44</v>
      </c>
      <c r="P277" s="4">
        <f t="shared" si="8"/>
        <v>14946.12</v>
      </c>
      <c r="Q277" s="4">
        <f t="shared" si="9"/>
        <v>-1160.2799999999997</v>
      </c>
      <c r="R277" t="str">
        <f>IF( Table1[[#This Row],[Total Amount after sale]] &gt; 0,"PROFIT","LOSS")</f>
        <v>LOSS</v>
      </c>
      <c r="S277" s="3">
        <f>(Table1[[#This Row],[Total Amount after sale]]/Table1[[#This Row],[Price after discount]])</f>
        <v>-7.7630850013247571E-2</v>
      </c>
    </row>
    <row r="278" spans="1:19" x14ac:dyDescent="0.3">
      <c r="A278">
        <v>1061</v>
      </c>
      <c r="B278" s="1">
        <v>45024</v>
      </c>
      <c r="C278" s="1">
        <f>DATE(YEAR(Table1[[#This Row],[Sale_Date]]), MONTH(Table1[[#This Row],[Sale_Date]]), 1)</f>
        <v>45017</v>
      </c>
      <c r="D278" t="s">
        <v>33</v>
      </c>
      <c r="E278" t="s">
        <v>34</v>
      </c>
      <c r="F278" s="2">
        <v>3988.03</v>
      </c>
      <c r="G278">
        <v>29</v>
      </c>
      <c r="H278" t="s">
        <v>29</v>
      </c>
      <c r="I278" s="2">
        <v>1221.74</v>
      </c>
      <c r="J278" s="2">
        <v>1611.92</v>
      </c>
      <c r="K278" t="s">
        <v>30</v>
      </c>
      <c r="L278" s="5">
        <v>0.15</v>
      </c>
      <c r="M278" t="s">
        <v>18</v>
      </c>
      <c r="N278" t="s">
        <v>22</v>
      </c>
      <c r="O278" t="s">
        <v>36</v>
      </c>
      <c r="P278" s="4">
        <f t="shared" si="8"/>
        <v>39733.828000000001</v>
      </c>
      <c r="Q278" s="4">
        <f t="shared" si="9"/>
        <v>4303.3680000000013</v>
      </c>
      <c r="R278" t="str">
        <f>IF( Table1[[#This Row],[Total Amount after sale]] &gt; 0,"PROFIT","LOSS")</f>
        <v>PROFIT</v>
      </c>
      <c r="S278" s="3">
        <f>(Table1[[#This Row],[Total Amount after sale]]/Table1[[#This Row],[Price after discount]])</f>
        <v>0.10830489325116123</v>
      </c>
    </row>
    <row r="279" spans="1:19" x14ac:dyDescent="0.3">
      <c r="A279">
        <v>1007</v>
      </c>
      <c r="B279" s="1">
        <v>45024</v>
      </c>
      <c r="C279" s="1">
        <f>DATE(YEAR(Table1[[#This Row],[Sale_Date]]), MONTH(Table1[[#This Row],[Sale_Date]]), 1)</f>
        <v>45017</v>
      </c>
      <c r="D279" t="s">
        <v>33</v>
      </c>
      <c r="E279" t="s">
        <v>34</v>
      </c>
      <c r="F279" s="2">
        <v>3758.78</v>
      </c>
      <c r="G279">
        <v>13</v>
      </c>
      <c r="H279" t="s">
        <v>29</v>
      </c>
      <c r="I279" s="2">
        <v>3597.2</v>
      </c>
      <c r="J279" s="2">
        <v>4071.8199999999902</v>
      </c>
      <c r="K279" t="s">
        <v>17</v>
      </c>
      <c r="L279" s="5">
        <v>0.28999999999999998</v>
      </c>
      <c r="M279" t="s">
        <v>27</v>
      </c>
      <c r="N279" t="s">
        <v>19</v>
      </c>
      <c r="O279" t="s">
        <v>36</v>
      </c>
      <c r="P279" s="4">
        <f t="shared" si="8"/>
        <v>37582.898599999906</v>
      </c>
      <c r="Q279" s="4">
        <f t="shared" si="9"/>
        <v>-9180.7014000000909</v>
      </c>
      <c r="R279" t="str">
        <f>IF( Table1[[#This Row],[Total Amount after sale]] &gt; 0,"PROFIT","LOSS")</f>
        <v>LOSS</v>
      </c>
      <c r="S279" s="3">
        <f>(Table1[[#This Row],[Total Amount after sale]]/Table1[[#This Row],[Price after discount]])</f>
        <v>-0.24427869435275845</v>
      </c>
    </row>
    <row r="280" spans="1:19" x14ac:dyDescent="0.3">
      <c r="A280">
        <v>1039</v>
      </c>
      <c r="B280" s="1">
        <v>45025</v>
      </c>
      <c r="C280" s="1">
        <f>DATE(YEAR(Table1[[#This Row],[Sale_Date]]), MONTH(Table1[[#This Row],[Sale_Date]]), 1)</f>
        <v>45017</v>
      </c>
      <c r="D280" t="s">
        <v>42</v>
      </c>
      <c r="E280" t="s">
        <v>15</v>
      </c>
      <c r="F280" s="2">
        <v>763.04</v>
      </c>
      <c r="G280">
        <v>3</v>
      </c>
      <c r="H280" t="s">
        <v>26</v>
      </c>
      <c r="I280" s="2">
        <v>391.19</v>
      </c>
      <c r="J280" s="2">
        <v>471.75</v>
      </c>
      <c r="K280" t="s">
        <v>17</v>
      </c>
      <c r="L280" s="5">
        <v>0.27</v>
      </c>
      <c r="M280" t="s">
        <v>18</v>
      </c>
      <c r="N280" t="s">
        <v>19</v>
      </c>
      <c r="O280" t="s">
        <v>49</v>
      </c>
      <c r="P280" s="4">
        <f t="shared" si="8"/>
        <v>1033.1324999999999</v>
      </c>
      <c r="Q280" s="4">
        <f t="shared" si="9"/>
        <v>-140.4375</v>
      </c>
      <c r="R280" t="str">
        <f>IF( Table1[[#This Row],[Total Amount after sale]] &gt; 0,"PROFIT","LOSS")</f>
        <v>LOSS</v>
      </c>
      <c r="S280" s="3">
        <f>(Table1[[#This Row],[Total Amount after sale]]/Table1[[#This Row],[Price after discount]])</f>
        <v>-0.13593367743246873</v>
      </c>
    </row>
    <row r="281" spans="1:19" x14ac:dyDescent="0.3">
      <c r="A281">
        <v>1059</v>
      </c>
      <c r="B281" s="1">
        <v>45025</v>
      </c>
      <c r="C281" s="1">
        <f>DATE(YEAR(Table1[[#This Row],[Sale_Date]]), MONTH(Table1[[#This Row],[Sale_Date]]), 1)</f>
        <v>45017</v>
      </c>
      <c r="D281" t="s">
        <v>33</v>
      </c>
      <c r="E281" t="s">
        <v>25</v>
      </c>
      <c r="F281" s="2">
        <v>8063.7</v>
      </c>
      <c r="G281">
        <v>1</v>
      </c>
      <c r="H281" t="s">
        <v>35</v>
      </c>
      <c r="I281" s="2">
        <v>332.62</v>
      </c>
      <c r="J281" s="2">
        <v>612.46</v>
      </c>
      <c r="K281" t="s">
        <v>17</v>
      </c>
      <c r="L281" s="5">
        <v>0.24</v>
      </c>
      <c r="M281" t="s">
        <v>18</v>
      </c>
      <c r="N281" t="s">
        <v>22</v>
      </c>
      <c r="O281" t="s">
        <v>44</v>
      </c>
      <c r="P281" s="4">
        <f t="shared" si="8"/>
        <v>465.46960000000001</v>
      </c>
      <c r="Q281" s="4">
        <f t="shared" si="9"/>
        <v>132.84960000000001</v>
      </c>
      <c r="R281" t="str">
        <f>IF( Table1[[#This Row],[Total Amount after sale]] &gt; 0,"PROFIT","LOSS")</f>
        <v>PROFIT</v>
      </c>
      <c r="S281" s="3">
        <f>(Table1[[#This Row],[Total Amount after sale]]/Table1[[#This Row],[Price after discount]])</f>
        <v>0.28540983127576969</v>
      </c>
    </row>
    <row r="282" spans="1:19" x14ac:dyDescent="0.3">
      <c r="A282">
        <v>1083</v>
      </c>
      <c r="B282" s="1">
        <v>45027</v>
      </c>
      <c r="C282" s="1">
        <f>DATE(YEAR(Table1[[#This Row],[Sale_Date]]), MONTH(Table1[[#This Row],[Sale_Date]]), 1)</f>
        <v>45017</v>
      </c>
      <c r="D282" t="s">
        <v>14</v>
      </c>
      <c r="E282" t="s">
        <v>21</v>
      </c>
      <c r="F282" s="2">
        <v>618.30999999999995</v>
      </c>
      <c r="G282">
        <v>29</v>
      </c>
      <c r="H282" t="s">
        <v>16</v>
      </c>
      <c r="I282" s="2">
        <v>2408.81</v>
      </c>
      <c r="J282" s="2">
        <v>2624.09</v>
      </c>
      <c r="K282" t="s">
        <v>17</v>
      </c>
      <c r="L282" s="5">
        <v>0.14000000000000001</v>
      </c>
      <c r="M282" t="s">
        <v>18</v>
      </c>
      <c r="N282" t="s">
        <v>19</v>
      </c>
      <c r="O282" t="s">
        <v>23</v>
      </c>
      <c r="P282" s="4">
        <f t="shared" si="8"/>
        <v>65444.804600000003</v>
      </c>
      <c r="Q282" s="4">
        <f t="shared" si="9"/>
        <v>-4410.6853999999985</v>
      </c>
      <c r="R282" t="str">
        <f>IF( Table1[[#This Row],[Total Amount after sale]] &gt; 0,"PROFIT","LOSS")</f>
        <v>LOSS</v>
      </c>
      <c r="S282" s="3">
        <f>(Table1[[#This Row],[Total Amount after sale]]/Table1[[#This Row],[Price after discount]])</f>
        <v>-6.7395501093756777E-2</v>
      </c>
    </row>
    <row r="283" spans="1:19" x14ac:dyDescent="0.3">
      <c r="A283">
        <v>1014</v>
      </c>
      <c r="B283" s="1">
        <v>45027</v>
      </c>
      <c r="C283" s="1">
        <f>DATE(YEAR(Table1[[#This Row],[Sale_Date]]), MONTH(Table1[[#This Row],[Sale_Date]]), 1)</f>
        <v>45017</v>
      </c>
      <c r="D283" t="s">
        <v>42</v>
      </c>
      <c r="E283" t="s">
        <v>25</v>
      </c>
      <c r="F283" s="2">
        <v>9582.1200000000008</v>
      </c>
      <c r="G283">
        <v>38</v>
      </c>
      <c r="H283" t="s">
        <v>26</v>
      </c>
      <c r="I283" s="2">
        <v>2091.21</v>
      </c>
      <c r="J283" s="2">
        <v>2527</v>
      </c>
      <c r="K283" t="s">
        <v>17</v>
      </c>
      <c r="L283" s="5">
        <v>0.01</v>
      </c>
      <c r="M283" t="s">
        <v>31</v>
      </c>
      <c r="N283" t="s">
        <v>19</v>
      </c>
      <c r="O283" t="s">
        <v>43</v>
      </c>
      <c r="P283" s="4">
        <f t="shared" si="8"/>
        <v>95065.74</v>
      </c>
      <c r="Q283" s="4">
        <f t="shared" si="9"/>
        <v>15599.759999999998</v>
      </c>
      <c r="R283" t="str">
        <f>IF( Table1[[#This Row],[Total Amount after sale]] &gt; 0,"PROFIT","LOSS")</f>
        <v>PROFIT</v>
      </c>
      <c r="S283" s="3">
        <f>(Table1[[#This Row],[Total Amount after sale]]/Table1[[#This Row],[Price after discount]])</f>
        <v>0.16409444664292308</v>
      </c>
    </row>
    <row r="284" spans="1:19" x14ac:dyDescent="0.3">
      <c r="A284">
        <v>1002</v>
      </c>
      <c r="B284" s="1">
        <v>45027</v>
      </c>
      <c r="C284" s="1">
        <f>DATE(YEAR(Table1[[#This Row],[Sale_Date]]), MONTH(Table1[[#This Row],[Sale_Date]]), 1)</f>
        <v>45017</v>
      </c>
      <c r="D284" t="s">
        <v>14</v>
      </c>
      <c r="E284" t="s">
        <v>15</v>
      </c>
      <c r="F284" s="2">
        <v>1942.75</v>
      </c>
      <c r="G284">
        <v>21</v>
      </c>
      <c r="H284" t="s">
        <v>26</v>
      </c>
      <c r="I284" s="2">
        <v>914.22</v>
      </c>
      <c r="J284" s="2">
        <v>971.57</v>
      </c>
      <c r="K284" t="s">
        <v>17</v>
      </c>
      <c r="L284" s="5">
        <v>0.14000000000000001</v>
      </c>
      <c r="M284" t="s">
        <v>18</v>
      </c>
      <c r="N284" t="s">
        <v>19</v>
      </c>
      <c r="O284" t="s">
        <v>20</v>
      </c>
      <c r="P284" s="4">
        <f t="shared" si="8"/>
        <v>17546.554199999999</v>
      </c>
      <c r="Q284" s="4">
        <f t="shared" si="9"/>
        <v>-1652.0658000000003</v>
      </c>
      <c r="R284" t="str">
        <f>IF( Table1[[#This Row],[Total Amount after sale]] &gt; 0,"PROFIT","LOSS")</f>
        <v>LOSS</v>
      </c>
      <c r="S284" s="3">
        <f>(Table1[[#This Row],[Total Amount after sale]]/Table1[[#This Row],[Price after discount]])</f>
        <v>-9.4153289652734229E-2</v>
      </c>
    </row>
    <row r="285" spans="1:19" x14ac:dyDescent="0.3">
      <c r="A285">
        <v>1067</v>
      </c>
      <c r="B285" s="1">
        <v>45027</v>
      </c>
      <c r="C285" s="1">
        <f>DATE(YEAR(Table1[[#This Row],[Sale_Date]]), MONTH(Table1[[#This Row],[Sale_Date]]), 1)</f>
        <v>45017</v>
      </c>
      <c r="D285" t="s">
        <v>14</v>
      </c>
      <c r="E285" t="s">
        <v>34</v>
      </c>
      <c r="F285" s="2">
        <v>8963.93</v>
      </c>
      <c r="G285">
        <v>17</v>
      </c>
      <c r="H285" t="s">
        <v>26</v>
      </c>
      <c r="I285" s="2">
        <v>2831.58</v>
      </c>
      <c r="J285" s="2">
        <v>3186.15</v>
      </c>
      <c r="K285" t="s">
        <v>30</v>
      </c>
      <c r="L285" s="5">
        <v>0.24</v>
      </c>
      <c r="M285" t="s">
        <v>27</v>
      </c>
      <c r="N285" t="s">
        <v>22</v>
      </c>
      <c r="O285" t="s">
        <v>46</v>
      </c>
      <c r="P285" s="4">
        <f t="shared" si="8"/>
        <v>41165.058000000005</v>
      </c>
      <c r="Q285" s="4">
        <f t="shared" si="9"/>
        <v>-6971.801999999996</v>
      </c>
      <c r="R285" t="str">
        <f>IF( Table1[[#This Row],[Total Amount after sale]] &gt; 0,"PROFIT","LOSS")</f>
        <v>LOSS</v>
      </c>
      <c r="S285" s="3">
        <f>(Table1[[#This Row],[Total Amount after sale]]/Table1[[#This Row],[Price after discount]])</f>
        <v>-0.16936213232105723</v>
      </c>
    </row>
    <row r="286" spans="1:19" x14ac:dyDescent="0.3">
      <c r="A286">
        <v>1063</v>
      </c>
      <c r="B286" s="1">
        <v>45028</v>
      </c>
      <c r="C286" s="1">
        <f>DATE(YEAR(Table1[[#This Row],[Sale_Date]]), MONTH(Table1[[#This Row],[Sale_Date]]), 1)</f>
        <v>45017</v>
      </c>
      <c r="D286" t="s">
        <v>33</v>
      </c>
      <c r="E286" t="s">
        <v>15</v>
      </c>
      <c r="F286" s="2">
        <v>5886.04</v>
      </c>
      <c r="G286">
        <v>40</v>
      </c>
      <c r="H286" t="s">
        <v>35</v>
      </c>
      <c r="I286" s="2">
        <v>2101.3200000000002</v>
      </c>
      <c r="J286" s="2">
        <v>2440.63</v>
      </c>
      <c r="K286" t="s">
        <v>30</v>
      </c>
      <c r="L286" s="5">
        <v>0.26</v>
      </c>
      <c r="M286" t="s">
        <v>27</v>
      </c>
      <c r="N286" t="s">
        <v>22</v>
      </c>
      <c r="O286" t="s">
        <v>53</v>
      </c>
      <c r="P286" s="4">
        <f t="shared" si="8"/>
        <v>72242.648000000001</v>
      </c>
      <c r="Q286" s="4">
        <f t="shared" si="9"/>
        <v>-11810.152000000007</v>
      </c>
      <c r="R286" t="str">
        <f>IF( Table1[[#This Row],[Total Amount after sale]] &gt; 0,"PROFIT","LOSS")</f>
        <v>LOSS</v>
      </c>
      <c r="S286" s="3">
        <f>(Table1[[#This Row],[Total Amount after sale]]/Table1[[#This Row],[Price after discount]])</f>
        <v>-0.16347894667426929</v>
      </c>
    </row>
    <row r="287" spans="1:19" x14ac:dyDescent="0.3">
      <c r="A287">
        <v>1081</v>
      </c>
      <c r="B287" s="1">
        <v>45028</v>
      </c>
      <c r="C287" s="1">
        <f>DATE(YEAR(Table1[[#This Row],[Sale_Date]]), MONTH(Table1[[#This Row],[Sale_Date]]), 1)</f>
        <v>45017</v>
      </c>
      <c r="D287" t="s">
        <v>14</v>
      </c>
      <c r="E287" t="s">
        <v>25</v>
      </c>
      <c r="F287" s="2">
        <v>9680.84</v>
      </c>
      <c r="G287">
        <v>19</v>
      </c>
      <c r="H287" t="s">
        <v>26</v>
      </c>
      <c r="I287" s="2">
        <v>2443.69</v>
      </c>
      <c r="J287" s="2">
        <v>2462.34</v>
      </c>
      <c r="K287" t="s">
        <v>30</v>
      </c>
      <c r="L287" s="5">
        <v>7.0000000000000007E-2</v>
      </c>
      <c r="M287" t="s">
        <v>27</v>
      </c>
      <c r="N287" t="s">
        <v>22</v>
      </c>
      <c r="O287" t="s">
        <v>32</v>
      </c>
      <c r="P287" s="4">
        <f t="shared" si="8"/>
        <v>43509.5478</v>
      </c>
      <c r="Q287" s="4">
        <f t="shared" si="9"/>
        <v>-2920.5621999999998</v>
      </c>
      <c r="R287" t="str">
        <f>IF( Table1[[#This Row],[Total Amount after sale]] &gt; 0,"PROFIT","LOSS")</f>
        <v>LOSS</v>
      </c>
      <c r="S287" s="3">
        <f>(Table1[[#This Row],[Total Amount after sale]]/Table1[[#This Row],[Price after discount]])</f>
        <v>-6.7124627758140015E-2</v>
      </c>
    </row>
    <row r="288" spans="1:19" x14ac:dyDescent="0.3">
      <c r="A288">
        <v>1091</v>
      </c>
      <c r="B288" s="1">
        <v>45029</v>
      </c>
      <c r="C288" s="1">
        <f>DATE(YEAR(Table1[[#This Row],[Sale_Date]]), MONTH(Table1[[#This Row],[Sale_Date]]), 1)</f>
        <v>45017</v>
      </c>
      <c r="D288" t="s">
        <v>38</v>
      </c>
      <c r="E288" t="s">
        <v>21</v>
      </c>
      <c r="F288" s="2">
        <v>9146.51</v>
      </c>
      <c r="G288">
        <v>36</v>
      </c>
      <c r="H288" t="s">
        <v>35</v>
      </c>
      <c r="I288" s="2">
        <v>3951.59</v>
      </c>
      <c r="J288" s="2">
        <v>4387.01</v>
      </c>
      <c r="K288" t="s">
        <v>30</v>
      </c>
      <c r="L288" s="5">
        <v>7.0000000000000007E-2</v>
      </c>
      <c r="M288" t="s">
        <v>27</v>
      </c>
      <c r="N288" t="s">
        <v>22</v>
      </c>
      <c r="O288" t="s">
        <v>41</v>
      </c>
      <c r="P288" s="4">
        <f t="shared" si="8"/>
        <v>146877.09479999999</v>
      </c>
      <c r="Q288" s="4">
        <f t="shared" si="9"/>
        <v>4619.8547999999955</v>
      </c>
      <c r="R288" t="str">
        <f>IF( Table1[[#This Row],[Total Amount after sale]] &gt; 0,"PROFIT","LOSS")</f>
        <v>PROFIT</v>
      </c>
      <c r="S288" s="3">
        <f>(Table1[[#This Row],[Total Amount after sale]]/Table1[[#This Row],[Price after discount]])</f>
        <v>3.1453881943204094E-2</v>
      </c>
    </row>
    <row r="289" spans="1:19" x14ac:dyDescent="0.3">
      <c r="A289">
        <v>1008</v>
      </c>
      <c r="B289" s="1">
        <v>45029</v>
      </c>
      <c r="C289" s="1">
        <f>DATE(YEAR(Table1[[#This Row],[Sale_Date]]), MONTH(Table1[[#This Row],[Sale_Date]]), 1)</f>
        <v>45017</v>
      </c>
      <c r="D289" t="s">
        <v>33</v>
      </c>
      <c r="E289" t="s">
        <v>25</v>
      </c>
      <c r="F289" s="2">
        <v>5104.54</v>
      </c>
      <c r="G289">
        <v>24</v>
      </c>
      <c r="H289" t="s">
        <v>16</v>
      </c>
      <c r="I289" s="2">
        <v>4739.13</v>
      </c>
      <c r="J289" s="2">
        <v>4868.95</v>
      </c>
      <c r="K289" t="s">
        <v>30</v>
      </c>
      <c r="L289" s="5">
        <v>0.14000000000000001</v>
      </c>
      <c r="M289" t="s">
        <v>31</v>
      </c>
      <c r="N289" t="s">
        <v>22</v>
      </c>
      <c r="O289" t="s">
        <v>44</v>
      </c>
      <c r="P289" s="4">
        <f t="shared" si="8"/>
        <v>100495.128</v>
      </c>
      <c r="Q289" s="4">
        <f t="shared" si="9"/>
        <v>-13243.992000000013</v>
      </c>
      <c r="R289" t="str">
        <f>IF( Table1[[#This Row],[Total Amount after sale]] &gt; 0,"PROFIT","LOSS")</f>
        <v>LOSS</v>
      </c>
      <c r="S289" s="3">
        <f>(Table1[[#This Row],[Total Amount after sale]]/Table1[[#This Row],[Price after discount]])</f>
        <v>-0.1317874036639867</v>
      </c>
    </row>
    <row r="290" spans="1:19" x14ac:dyDescent="0.3">
      <c r="A290">
        <v>1034</v>
      </c>
      <c r="B290" s="1">
        <v>45030</v>
      </c>
      <c r="C290" s="1">
        <f>DATE(YEAR(Table1[[#This Row],[Sale_Date]]), MONTH(Table1[[#This Row],[Sale_Date]]), 1)</f>
        <v>45017</v>
      </c>
      <c r="D290" t="s">
        <v>42</v>
      </c>
      <c r="E290" t="s">
        <v>21</v>
      </c>
      <c r="F290" s="2">
        <v>534.61</v>
      </c>
      <c r="G290">
        <v>3</v>
      </c>
      <c r="H290" t="s">
        <v>29</v>
      </c>
      <c r="I290" s="2">
        <v>3472.51</v>
      </c>
      <c r="J290" s="2">
        <v>3732</v>
      </c>
      <c r="K290" t="s">
        <v>30</v>
      </c>
      <c r="L290" s="5">
        <v>0.06</v>
      </c>
      <c r="M290" t="s">
        <v>18</v>
      </c>
      <c r="N290" t="s">
        <v>19</v>
      </c>
      <c r="O290" t="s">
        <v>51</v>
      </c>
      <c r="P290" s="4">
        <f t="shared" si="8"/>
        <v>10524.24</v>
      </c>
      <c r="Q290" s="4">
        <f t="shared" si="9"/>
        <v>106.70999999999913</v>
      </c>
      <c r="R290" t="str">
        <f>IF( Table1[[#This Row],[Total Amount after sale]] &gt; 0,"PROFIT","LOSS")</f>
        <v>PROFIT</v>
      </c>
      <c r="S290" s="3">
        <f>(Table1[[#This Row],[Total Amount after sale]]/Table1[[#This Row],[Price after discount]])</f>
        <v>1.0139449499441207E-2</v>
      </c>
    </row>
    <row r="291" spans="1:19" x14ac:dyDescent="0.3">
      <c r="A291">
        <v>1099</v>
      </c>
      <c r="B291" s="1">
        <v>45030</v>
      </c>
      <c r="C291" s="1">
        <f>DATE(YEAR(Table1[[#This Row],[Sale_Date]]), MONTH(Table1[[#This Row],[Sale_Date]]), 1)</f>
        <v>45017</v>
      </c>
      <c r="D291" t="s">
        <v>42</v>
      </c>
      <c r="E291" t="s">
        <v>34</v>
      </c>
      <c r="F291" s="2">
        <v>9948.7099999999991</v>
      </c>
      <c r="G291">
        <v>27</v>
      </c>
      <c r="H291" t="s">
        <v>26</v>
      </c>
      <c r="I291" s="2">
        <v>4929.55</v>
      </c>
      <c r="J291" s="2">
        <v>4990.33</v>
      </c>
      <c r="K291" t="s">
        <v>17</v>
      </c>
      <c r="L291" s="5">
        <v>0.28999999999999998</v>
      </c>
      <c r="M291" t="s">
        <v>31</v>
      </c>
      <c r="N291" t="s">
        <v>19</v>
      </c>
      <c r="O291" t="s">
        <v>52</v>
      </c>
      <c r="P291" s="4">
        <f t="shared" si="8"/>
        <v>95664.626099999994</v>
      </c>
      <c r="Q291" s="4">
        <f t="shared" si="9"/>
        <v>-37433.223900000012</v>
      </c>
      <c r="R291" t="str">
        <f>IF( Table1[[#This Row],[Total Amount after sale]] &gt; 0,"PROFIT","LOSS")</f>
        <v>LOSS</v>
      </c>
      <c r="S291" s="3">
        <f>(Table1[[#This Row],[Total Amount after sale]]/Table1[[#This Row],[Price after discount]])</f>
        <v>-0.39129640104243313</v>
      </c>
    </row>
    <row r="292" spans="1:19" x14ac:dyDescent="0.3">
      <c r="A292">
        <v>1047</v>
      </c>
      <c r="B292" s="1">
        <v>45030</v>
      </c>
      <c r="C292" s="1">
        <f>DATE(YEAR(Table1[[#This Row],[Sale_Date]]), MONTH(Table1[[#This Row],[Sale_Date]]), 1)</f>
        <v>45017</v>
      </c>
      <c r="D292" t="s">
        <v>38</v>
      </c>
      <c r="E292" t="s">
        <v>21</v>
      </c>
      <c r="F292" s="2">
        <v>7146.06</v>
      </c>
      <c r="G292">
        <v>16</v>
      </c>
      <c r="H292" t="s">
        <v>29</v>
      </c>
      <c r="I292" s="2">
        <v>3966.86</v>
      </c>
      <c r="J292" s="2">
        <v>4321.04</v>
      </c>
      <c r="K292" t="s">
        <v>17</v>
      </c>
      <c r="L292" s="5">
        <v>0.23</v>
      </c>
      <c r="M292" t="s">
        <v>31</v>
      </c>
      <c r="N292" t="s">
        <v>22</v>
      </c>
      <c r="O292" t="s">
        <v>41</v>
      </c>
      <c r="P292" s="4">
        <f t="shared" si="8"/>
        <v>53235.212800000001</v>
      </c>
      <c r="Q292" s="4">
        <f t="shared" si="9"/>
        <v>-10234.547200000001</v>
      </c>
      <c r="R292" t="str">
        <f>IF( Table1[[#This Row],[Total Amount after sale]] &gt; 0,"PROFIT","LOSS")</f>
        <v>LOSS</v>
      </c>
      <c r="S292" s="3">
        <f>(Table1[[#This Row],[Total Amount after sale]]/Table1[[#This Row],[Price after discount]])</f>
        <v>-0.19225145653968345</v>
      </c>
    </row>
    <row r="293" spans="1:19" x14ac:dyDescent="0.3">
      <c r="A293">
        <v>1032</v>
      </c>
      <c r="B293" s="1">
        <v>45030</v>
      </c>
      <c r="C293" s="1">
        <f>DATE(YEAR(Table1[[#This Row],[Sale_Date]]), MONTH(Table1[[#This Row],[Sale_Date]]), 1)</f>
        <v>45017</v>
      </c>
      <c r="D293" t="s">
        <v>24</v>
      </c>
      <c r="E293" t="s">
        <v>15</v>
      </c>
      <c r="F293" s="2">
        <v>2286.44</v>
      </c>
      <c r="G293">
        <v>45</v>
      </c>
      <c r="H293" t="s">
        <v>29</v>
      </c>
      <c r="I293" s="2">
        <v>3712.35</v>
      </c>
      <c r="J293" s="2">
        <v>3780.88</v>
      </c>
      <c r="K293" t="s">
        <v>30</v>
      </c>
      <c r="L293" s="5">
        <v>7.0000000000000007E-2</v>
      </c>
      <c r="M293" t="s">
        <v>18</v>
      </c>
      <c r="N293" t="s">
        <v>22</v>
      </c>
      <c r="O293" t="s">
        <v>45</v>
      </c>
      <c r="P293" s="4">
        <f t="shared" si="8"/>
        <v>158229.82799999998</v>
      </c>
      <c r="Q293" s="4">
        <f t="shared" si="9"/>
        <v>-8825.9220000000078</v>
      </c>
      <c r="R293" t="str">
        <f>IF( Table1[[#This Row],[Total Amount after sale]] &gt; 0,"PROFIT","LOSS")</f>
        <v>LOSS</v>
      </c>
      <c r="S293" s="3">
        <f>(Table1[[#This Row],[Total Amount after sale]]/Table1[[#This Row],[Price after discount]])</f>
        <v>-5.577912907798907E-2</v>
      </c>
    </row>
    <row r="294" spans="1:19" x14ac:dyDescent="0.3">
      <c r="A294">
        <v>1052</v>
      </c>
      <c r="B294" s="1">
        <v>45030</v>
      </c>
      <c r="C294" s="1">
        <f>DATE(YEAR(Table1[[#This Row],[Sale_Date]]), MONTH(Table1[[#This Row],[Sale_Date]]), 1)</f>
        <v>45017</v>
      </c>
      <c r="D294" t="s">
        <v>24</v>
      </c>
      <c r="E294" t="s">
        <v>15</v>
      </c>
      <c r="F294" s="2">
        <v>1834.7</v>
      </c>
      <c r="G294">
        <v>5</v>
      </c>
      <c r="H294" t="s">
        <v>16</v>
      </c>
      <c r="I294" s="2">
        <v>745.71</v>
      </c>
      <c r="J294" s="2">
        <v>856.91</v>
      </c>
      <c r="K294" t="s">
        <v>17</v>
      </c>
      <c r="L294" s="5">
        <v>0.23</v>
      </c>
      <c r="M294" t="s">
        <v>27</v>
      </c>
      <c r="N294" t="s">
        <v>22</v>
      </c>
      <c r="O294" t="s">
        <v>45</v>
      </c>
      <c r="P294" s="4">
        <f t="shared" si="8"/>
        <v>3299.1035000000002</v>
      </c>
      <c r="Q294" s="4">
        <f t="shared" si="9"/>
        <v>-429.44650000000024</v>
      </c>
      <c r="R294" t="str">
        <f>IF( Table1[[#This Row],[Total Amount after sale]] &gt; 0,"PROFIT","LOSS")</f>
        <v>LOSS</v>
      </c>
      <c r="S294" s="3">
        <f>(Table1[[#This Row],[Total Amount after sale]]/Table1[[#This Row],[Price after discount]])</f>
        <v>-0.13017066606124975</v>
      </c>
    </row>
    <row r="295" spans="1:19" x14ac:dyDescent="0.3">
      <c r="A295">
        <v>1001</v>
      </c>
      <c r="B295" s="1">
        <v>45030</v>
      </c>
      <c r="C295" s="1">
        <f>DATE(YEAR(Table1[[#This Row],[Sale_Date]]), MONTH(Table1[[#This Row],[Sale_Date]]), 1)</f>
        <v>45017</v>
      </c>
      <c r="D295" t="s">
        <v>24</v>
      </c>
      <c r="E295" t="s">
        <v>34</v>
      </c>
      <c r="F295" s="2">
        <v>5488.11</v>
      </c>
      <c r="G295">
        <v>2</v>
      </c>
      <c r="H295" t="s">
        <v>35</v>
      </c>
      <c r="I295" s="2">
        <v>2631.68</v>
      </c>
      <c r="J295" s="2">
        <v>2904.06</v>
      </c>
      <c r="K295" t="s">
        <v>30</v>
      </c>
      <c r="L295" s="5">
        <v>0.15</v>
      </c>
      <c r="M295" t="s">
        <v>27</v>
      </c>
      <c r="N295" t="s">
        <v>19</v>
      </c>
      <c r="O295" t="s">
        <v>50</v>
      </c>
      <c r="P295" s="4">
        <f t="shared" si="8"/>
        <v>4936.902</v>
      </c>
      <c r="Q295" s="4">
        <f t="shared" si="9"/>
        <v>-326.45799999999963</v>
      </c>
      <c r="R295" t="str">
        <f>IF( Table1[[#This Row],[Total Amount after sale]] &gt; 0,"PROFIT","LOSS")</f>
        <v>LOSS</v>
      </c>
      <c r="S295" s="3">
        <f>(Table1[[#This Row],[Total Amount after sale]]/Table1[[#This Row],[Price after discount]])</f>
        <v>-6.6126084738971858E-2</v>
      </c>
    </row>
    <row r="296" spans="1:19" x14ac:dyDescent="0.3">
      <c r="A296">
        <v>1013</v>
      </c>
      <c r="B296" s="1">
        <v>45031</v>
      </c>
      <c r="C296" s="1">
        <f>DATE(YEAR(Table1[[#This Row],[Sale_Date]]), MONTH(Table1[[#This Row],[Sale_Date]]), 1)</f>
        <v>45017</v>
      </c>
      <c r="D296" t="s">
        <v>38</v>
      </c>
      <c r="E296" t="s">
        <v>15</v>
      </c>
      <c r="F296" s="2">
        <v>7255.1</v>
      </c>
      <c r="G296">
        <v>42</v>
      </c>
      <c r="H296" t="s">
        <v>16</v>
      </c>
      <c r="I296" s="2">
        <v>1375.57</v>
      </c>
      <c r="J296" s="2">
        <v>1729.71</v>
      </c>
      <c r="K296" t="s">
        <v>30</v>
      </c>
      <c r="L296" s="5">
        <v>0.04</v>
      </c>
      <c r="M296" t="s">
        <v>18</v>
      </c>
      <c r="N296" t="s">
        <v>19</v>
      </c>
      <c r="O296" t="s">
        <v>40</v>
      </c>
      <c r="P296" s="4">
        <f t="shared" si="8"/>
        <v>69741.907200000001</v>
      </c>
      <c r="Q296" s="4">
        <f t="shared" si="9"/>
        <v>11967.967200000005</v>
      </c>
      <c r="R296" t="str">
        <f>IF( Table1[[#This Row],[Total Amount after sale]] &gt; 0,"PROFIT","LOSS")</f>
        <v>PROFIT</v>
      </c>
      <c r="S296" s="3">
        <f>(Table1[[#This Row],[Total Amount after sale]]/Table1[[#This Row],[Price after discount]])</f>
        <v>0.17160366959393969</v>
      </c>
    </row>
    <row r="297" spans="1:19" x14ac:dyDescent="0.3">
      <c r="A297">
        <v>1010</v>
      </c>
      <c r="B297" s="1">
        <v>45031</v>
      </c>
      <c r="C297" s="1">
        <f>DATE(YEAR(Table1[[#This Row],[Sale_Date]]), MONTH(Table1[[#This Row],[Sale_Date]]), 1)</f>
        <v>45017</v>
      </c>
      <c r="D297" t="s">
        <v>33</v>
      </c>
      <c r="E297" t="s">
        <v>15</v>
      </c>
      <c r="F297" s="2">
        <v>4733.88</v>
      </c>
      <c r="G297">
        <v>4</v>
      </c>
      <c r="H297" t="s">
        <v>26</v>
      </c>
      <c r="I297" s="2">
        <v>4943.03</v>
      </c>
      <c r="J297" s="2">
        <v>5442.15</v>
      </c>
      <c r="K297" t="s">
        <v>17</v>
      </c>
      <c r="L297" s="5">
        <v>0.28999999999999998</v>
      </c>
      <c r="M297" t="s">
        <v>18</v>
      </c>
      <c r="N297" t="s">
        <v>19</v>
      </c>
      <c r="O297" t="s">
        <v>53</v>
      </c>
      <c r="P297" s="4">
        <f t="shared" si="8"/>
        <v>15455.705999999998</v>
      </c>
      <c r="Q297" s="4">
        <f t="shared" si="9"/>
        <v>-4316.4140000000007</v>
      </c>
      <c r="R297" t="str">
        <f>IF( Table1[[#This Row],[Total Amount after sale]] &gt; 0,"PROFIT","LOSS")</f>
        <v>LOSS</v>
      </c>
      <c r="S297" s="3">
        <f>(Table1[[#This Row],[Total Amount after sale]]/Table1[[#This Row],[Price after discount]])</f>
        <v>-0.27927640445541607</v>
      </c>
    </row>
    <row r="298" spans="1:19" x14ac:dyDescent="0.3">
      <c r="A298">
        <v>1081</v>
      </c>
      <c r="B298" s="1">
        <v>45032</v>
      </c>
      <c r="C298" s="1">
        <f>DATE(YEAR(Table1[[#This Row],[Sale_Date]]), MONTH(Table1[[#This Row],[Sale_Date]]), 1)</f>
        <v>45017</v>
      </c>
      <c r="D298" t="s">
        <v>33</v>
      </c>
      <c r="E298" t="s">
        <v>21</v>
      </c>
      <c r="F298" s="2">
        <v>2896.71</v>
      </c>
      <c r="G298">
        <v>44</v>
      </c>
      <c r="H298" t="s">
        <v>35</v>
      </c>
      <c r="I298" s="2">
        <v>1362.15</v>
      </c>
      <c r="J298" s="2">
        <v>1844.07</v>
      </c>
      <c r="K298" t="s">
        <v>30</v>
      </c>
      <c r="L298" s="5">
        <v>0.28999999999999998</v>
      </c>
      <c r="M298" t="s">
        <v>31</v>
      </c>
      <c r="N298" t="s">
        <v>19</v>
      </c>
      <c r="O298" t="s">
        <v>37</v>
      </c>
      <c r="P298" s="4">
        <f t="shared" si="8"/>
        <v>57608.746799999994</v>
      </c>
      <c r="Q298" s="4">
        <f t="shared" si="9"/>
        <v>-2325.8532000000123</v>
      </c>
      <c r="R298" t="str">
        <f>IF( Table1[[#This Row],[Total Amount after sale]] &gt; 0,"PROFIT","LOSS")</f>
        <v>LOSS</v>
      </c>
      <c r="S298" s="3">
        <f>(Table1[[#This Row],[Total Amount after sale]]/Table1[[#This Row],[Price after discount]])</f>
        <v>-4.0373264984823666E-2</v>
      </c>
    </row>
    <row r="299" spans="1:19" x14ac:dyDescent="0.3">
      <c r="A299">
        <v>1027</v>
      </c>
      <c r="B299" s="1">
        <v>45032</v>
      </c>
      <c r="C299" s="1">
        <f>DATE(YEAR(Table1[[#This Row],[Sale_Date]]), MONTH(Table1[[#This Row],[Sale_Date]]), 1)</f>
        <v>45017</v>
      </c>
      <c r="D299" t="s">
        <v>42</v>
      </c>
      <c r="E299" t="s">
        <v>34</v>
      </c>
      <c r="F299" s="2">
        <v>8241.57</v>
      </c>
      <c r="G299">
        <v>7</v>
      </c>
      <c r="H299" t="s">
        <v>26</v>
      </c>
      <c r="I299" s="2">
        <v>2371.85</v>
      </c>
      <c r="J299" s="2">
        <v>2457.29</v>
      </c>
      <c r="K299" t="s">
        <v>30</v>
      </c>
      <c r="L299" s="5">
        <v>0.03</v>
      </c>
      <c r="M299" t="s">
        <v>18</v>
      </c>
      <c r="N299" t="s">
        <v>22</v>
      </c>
      <c r="O299" t="s">
        <v>52</v>
      </c>
      <c r="P299" s="4">
        <f t="shared" si="8"/>
        <v>16684.999100000001</v>
      </c>
      <c r="Q299" s="4">
        <f t="shared" si="9"/>
        <v>82.04910000000109</v>
      </c>
      <c r="R299" t="str">
        <f>IF( Table1[[#This Row],[Total Amount after sale]] &gt; 0,"PROFIT","LOSS")</f>
        <v>PROFIT</v>
      </c>
      <c r="S299" s="3">
        <f>(Table1[[#This Row],[Total Amount after sale]]/Table1[[#This Row],[Price after discount]])</f>
        <v>4.9175369748746993E-3</v>
      </c>
    </row>
    <row r="300" spans="1:19" x14ac:dyDescent="0.3">
      <c r="A300">
        <v>1052</v>
      </c>
      <c r="B300" s="1">
        <v>45033</v>
      </c>
      <c r="C300" s="1">
        <f>DATE(YEAR(Table1[[#This Row],[Sale_Date]]), MONTH(Table1[[#This Row],[Sale_Date]]), 1)</f>
        <v>45017</v>
      </c>
      <c r="D300" t="s">
        <v>42</v>
      </c>
      <c r="E300" t="s">
        <v>25</v>
      </c>
      <c r="F300" s="2">
        <v>8448.93</v>
      </c>
      <c r="G300">
        <v>2</v>
      </c>
      <c r="H300" t="s">
        <v>26</v>
      </c>
      <c r="I300" s="2">
        <v>1935.41</v>
      </c>
      <c r="J300" s="2">
        <v>2305.44</v>
      </c>
      <c r="K300" t="s">
        <v>17</v>
      </c>
      <c r="L300" s="5">
        <v>0.22</v>
      </c>
      <c r="M300" t="s">
        <v>31</v>
      </c>
      <c r="N300" t="s">
        <v>19</v>
      </c>
      <c r="O300" t="s">
        <v>43</v>
      </c>
      <c r="P300" s="4">
        <f t="shared" si="8"/>
        <v>3596.4864000000002</v>
      </c>
      <c r="Q300" s="4">
        <f t="shared" si="9"/>
        <v>-274.33359999999993</v>
      </c>
      <c r="R300" t="str">
        <f>IF( Table1[[#This Row],[Total Amount after sale]] &gt; 0,"PROFIT","LOSS")</f>
        <v>LOSS</v>
      </c>
      <c r="S300" s="3">
        <f>(Table1[[#This Row],[Total Amount after sale]]/Table1[[#This Row],[Price after discount]])</f>
        <v>-7.6278225325695628E-2</v>
      </c>
    </row>
    <row r="301" spans="1:19" x14ac:dyDescent="0.3">
      <c r="A301">
        <v>1061</v>
      </c>
      <c r="B301" s="1">
        <v>45034</v>
      </c>
      <c r="C301" s="1">
        <f>DATE(YEAR(Table1[[#This Row],[Sale_Date]]), MONTH(Table1[[#This Row],[Sale_Date]]), 1)</f>
        <v>45017</v>
      </c>
      <c r="D301" t="s">
        <v>38</v>
      </c>
      <c r="E301" t="s">
        <v>15</v>
      </c>
      <c r="F301" s="2">
        <v>3774.02</v>
      </c>
      <c r="G301">
        <v>47</v>
      </c>
      <c r="H301" t="s">
        <v>35</v>
      </c>
      <c r="I301" s="2">
        <v>146.27000000000001</v>
      </c>
      <c r="J301" s="2">
        <v>498.46</v>
      </c>
      <c r="K301" t="s">
        <v>30</v>
      </c>
      <c r="L301" s="5">
        <v>0.06</v>
      </c>
      <c r="M301" t="s">
        <v>18</v>
      </c>
      <c r="N301" t="s">
        <v>22</v>
      </c>
      <c r="O301" t="s">
        <v>40</v>
      </c>
      <c r="P301" s="4">
        <f t="shared" si="8"/>
        <v>22021.962799999998</v>
      </c>
      <c r="Q301" s="4">
        <f t="shared" si="9"/>
        <v>15147.272799999997</v>
      </c>
      <c r="R301" t="str">
        <f>IF( Table1[[#This Row],[Total Amount after sale]] &gt; 0,"PROFIT","LOSS")</f>
        <v>PROFIT</v>
      </c>
      <c r="S301" s="3">
        <f>(Table1[[#This Row],[Total Amount after sale]]/Table1[[#This Row],[Price after discount]])</f>
        <v>0.68782573731347862</v>
      </c>
    </row>
    <row r="302" spans="1:19" x14ac:dyDescent="0.3">
      <c r="A302">
        <v>1035</v>
      </c>
      <c r="B302" s="1">
        <v>45034</v>
      </c>
      <c r="C302" s="1">
        <f>DATE(YEAR(Table1[[#This Row],[Sale_Date]]), MONTH(Table1[[#This Row],[Sale_Date]]), 1)</f>
        <v>45017</v>
      </c>
      <c r="D302" t="s">
        <v>24</v>
      </c>
      <c r="E302" t="s">
        <v>25</v>
      </c>
      <c r="F302" s="2">
        <v>9417.1</v>
      </c>
      <c r="G302">
        <v>34</v>
      </c>
      <c r="H302" t="s">
        <v>26</v>
      </c>
      <c r="I302" s="2">
        <v>1105.05</v>
      </c>
      <c r="J302" s="2">
        <v>1200.96</v>
      </c>
      <c r="K302" t="s">
        <v>17</v>
      </c>
      <c r="L302" s="5">
        <v>0.19</v>
      </c>
      <c r="M302" t="s">
        <v>18</v>
      </c>
      <c r="N302" t="s">
        <v>19</v>
      </c>
      <c r="O302" t="s">
        <v>28</v>
      </c>
      <c r="P302" s="4">
        <f t="shared" si="8"/>
        <v>33074.438400000006</v>
      </c>
      <c r="Q302" s="4">
        <f t="shared" si="9"/>
        <v>-4497.2615999999944</v>
      </c>
      <c r="R302" t="str">
        <f>IF( Table1[[#This Row],[Total Amount after sale]] &gt; 0,"PROFIT","LOSS")</f>
        <v>LOSS</v>
      </c>
      <c r="S302" s="3">
        <f>(Table1[[#This Row],[Total Amount after sale]]/Table1[[#This Row],[Price after discount]])</f>
        <v>-0.13597393689986262</v>
      </c>
    </row>
    <row r="303" spans="1:19" x14ac:dyDescent="0.3">
      <c r="A303">
        <v>1012</v>
      </c>
      <c r="B303" s="1">
        <v>45034</v>
      </c>
      <c r="C303" s="1">
        <f>DATE(YEAR(Table1[[#This Row],[Sale_Date]]), MONTH(Table1[[#This Row],[Sale_Date]]), 1)</f>
        <v>45017</v>
      </c>
      <c r="D303" t="s">
        <v>42</v>
      </c>
      <c r="E303" t="s">
        <v>25</v>
      </c>
      <c r="F303" s="2">
        <v>1874.61</v>
      </c>
      <c r="G303">
        <v>9</v>
      </c>
      <c r="H303" t="s">
        <v>35</v>
      </c>
      <c r="I303" s="2">
        <v>709.97</v>
      </c>
      <c r="J303" s="2">
        <v>1029.71</v>
      </c>
      <c r="K303" t="s">
        <v>17</v>
      </c>
      <c r="L303" s="5">
        <v>0.13</v>
      </c>
      <c r="M303" t="s">
        <v>27</v>
      </c>
      <c r="N303" t="s">
        <v>22</v>
      </c>
      <c r="O303" t="s">
        <v>43</v>
      </c>
      <c r="P303" s="4">
        <f t="shared" si="8"/>
        <v>8062.6293000000005</v>
      </c>
      <c r="Q303" s="4">
        <f t="shared" si="9"/>
        <v>1672.8993</v>
      </c>
      <c r="R303" t="str">
        <f>IF( Table1[[#This Row],[Total Amount after sale]] &gt; 0,"PROFIT","LOSS")</f>
        <v>PROFIT</v>
      </c>
      <c r="S303" s="3">
        <f>(Table1[[#This Row],[Total Amount after sale]]/Table1[[#This Row],[Price after discount]])</f>
        <v>0.20748805851708946</v>
      </c>
    </row>
    <row r="304" spans="1:19" x14ac:dyDescent="0.3">
      <c r="A304">
        <v>1033</v>
      </c>
      <c r="B304" s="1">
        <v>45035</v>
      </c>
      <c r="C304" s="1">
        <f>DATE(YEAR(Table1[[#This Row],[Sale_Date]]), MONTH(Table1[[#This Row],[Sale_Date]]), 1)</f>
        <v>45017</v>
      </c>
      <c r="D304" t="s">
        <v>14</v>
      </c>
      <c r="E304" t="s">
        <v>25</v>
      </c>
      <c r="F304" s="2">
        <v>2758.48</v>
      </c>
      <c r="G304">
        <v>5</v>
      </c>
      <c r="H304" t="s">
        <v>16</v>
      </c>
      <c r="I304" s="2">
        <v>3162.92</v>
      </c>
      <c r="J304" s="2">
        <v>3409.93</v>
      </c>
      <c r="K304" t="s">
        <v>30</v>
      </c>
      <c r="L304" s="5">
        <v>0</v>
      </c>
      <c r="M304" t="s">
        <v>18</v>
      </c>
      <c r="N304" t="s">
        <v>19</v>
      </c>
      <c r="O304" t="s">
        <v>32</v>
      </c>
      <c r="P304" s="4">
        <f t="shared" si="8"/>
        <v>17049.649999999998</v>
      </c>
      <c r="Q304" s="4">
        <f t="shared" si="9"/>
        <v>1235.0499999999988</v>
      </c>
      <c r="R304" t="str">
        <f>IF( Table1[[#This Row],[Total Amount after sale]] &gt; 0,"PROFIT","LOSS")</f>
        <v>PROFIT</v>
      </c>
      <c r="S304" s="3">
        <f>(Table1[[#This Row],[Total Amount after sale]]/Table1[[#This Row],[Price after discount]])</f>
        <v>7.2438437152668761E-2</v>
      </c>
    </row>
    <row r="305" spans="1:19" x14ac:dyDescent="0.3">
      <c r="A305">
        <v>1044</v>
      </c>
      <c r="B305" s="1">
        <v>45036</v>
      </c>
      <c r="C305" s="1">
        <f>DATE(YEAR(Table1[[#This Row],[Sale_Date]]), MONTH(Table1[[#This Row],[Sale_Date]]), 1)</f>
        <v>45017</v>
      </c>
      <c r="D305" t="s">
        <v>33</v>
      </c>
      <c r="E305" t="s">
        <v>21</v>
      </c>
      <c r="F305" s="2">
        <v>8564.7999999999993</v>
      </c>
      <c r="G305">
        <v>34</v>
      </c>
      <c r="H305" t="s">
        <v>26</v>
      </c>
      <c r="I305" s="2">
        <v>3573.3</v>
      </c>
      <c r="J305" s="2">
        <v>3740.13</v>
      </c>
      <c r="K305" t="s">
        <v>17</v>
      </c>
      <c r="L305" s="5">
        <v>0.01</v>
      </c>
      <c r="M305" t="s">
        <v>31</v>
      </c>
      <c r="N305" t="s">
        <v>19</v>
      </c>
      <c r="O305" t="s">
        <v>37</v>
      </c>
      <c r="P305" s="4">
        <f t="shared" si="8"/>
        <v>125892.7758</v>
      </c>
      <c r="Q305" s="4">
        <f t="shared" si="9"/>
        <v>4400.5757999999978</v>
      </c>
      <c r="R305" t="str">
        <f>IF( Table1[[#This Row],[Total Amount after sale]] &gt; 0,"PROFIT","LOSS")</f>
        <v>PROFIT</v>
      </c>
      <c r="S305" s="3">
        <f>(Table1[[#This Row],[Total Amount after sale]]/Table1[[#This Row],[Price after discount]])</f>
        <v>3.4954950925786148E-2</v>
      </c>
    </row>
    <row r="306" spans="1:19" x14ac:dyDescent="0.3">
      <c r="A306">
        <v>1093</v>
      </c>
      <c r="B306" s="1">
        <v>45037</v>
      </c>
      <c r="C306" s="1">
        <f>DATE(YEAR(Table1[[#This Row],[Sale_Date]]), MONTH(Table1[[#This Row],[Sale_Date]]), 1)</f>
        <v>45017</v>
      </c>
      <c r="D306" t="s">
        <v>14</v>
      </c>
      <c r="E306" t="s">
        <v>21</v>
      </c>
      <c r="F306" s="2">
        <v>4384.0200000000004</v>
      </c>
      <c r="G306">
        <v>17</v>
      </c>
      <c r="H306" t="s">
        <v>16</v>
      </c>
      <c r="I306" s="2">
        <v>3816.39</v>
      </c>
      <c r="J306" s="2">
        <v>4209.4399999999996</v>
      </c>
      <c r="K306" t="s">
        <v>17</v>
      </c>
      <c r="L306" s="5">
        <v>0.11</v>
      </c>
      <c r="M306" t="s">
        <v>18</v>
      </c>
      <c r="N306" t="s">
        <v>22</v>
      </c>
      <c r="O306" t="s">
        <v>23</v>
      </c>
      <c r="P306" s="4">
        <f t="shared" si="8"/>
        <v>63688.827199999992</v>
      </c>
      <c r="Q306" s="4">
        <f t="shared" si="9"/>
        <v>-1189.8028000000031</v>
      </c>
      <c r="R306" t="str">
        <f>IF( Table1[[#This Row],[Total Amount after sale]] &gt; 0,"PROFIT","LOSS")</f>
        <v>LOSS</v>
      </c>
      <c r="S306" s="3">
        <f>(Table1[[#This Row],[Total Amount after sale]]/Table1[[#This Row],[Price after discount]])</f>
        <v>-1.8681499602178311E-2</v>
      </c>
    </row>
    <row r="307" spans="1:19" x14ac:dyDescent="0.3">
      <c r="A307">
        <v>1009</v>
      </c>
      <c r="B307" s="1">
        <v>45037</v>
      </c>
      <c r="C307" s="1">
        <f>DATE(YEAR(Table1[[#This Row],[Sale_Date]]), MONTH(Table1[[#This Row],[Sale_Date]]), 1)</f>
        <v>45017</v>
      </c>
      <c r="D307" t="s">
        <v>38</v>
      </c>
      <c r="E307" t="s">
        <v>15</v>
      </c>
      <c r="F307" s="2">
        <v>9813.66</v>
      </c>
      <c r="G307">
        <v>47</v>
      </c>
      <c r="H307" t="s">
        <v>29</v>
      </c>
      <c r="I307" s="2">
        <v>359.41</v>
      </c>
      <c r="J307" s="2">
        <v>733</v>
      </c>
      <c r="K307" t="s">
        <v>17</v>
      </c>
      <c r="L307" s="5">
        <v>0.2</v>
      </c>
      <c r="M307" t="s">
        <v>27</v>
      </c>
      <c r="N307" t="s">
        <v>22</v>
      </c>
      <c r="O307" t="s">
        <v>40</v>
      </c>
      <c r="P307" s="4">
        <f t="shared" si="8"/>
        <v>27560.799999999999</v>
      </c>
      <c r="Q307" s="4">
        <f t="shared" si="9"/>
        <v>10668.529999999997</v>
      </c>
      <c r="R307" t="str">
        <f>IF( Table1[[#This Row],[Total Amount after sale]] &gt; 0,"PROFIT","LOSS")</f>
        <v>PROFIT</v>
      </c>
      <c r="S307" s="3">
        <f>(Table1[[#This Row],[Total Amount after sale]]/Table1[[#This Row],[Price after discount]])</f>
        <v>0.38709072305593439</v>
      </c>
    </row>
    <row r="308" spans="1:19" x14ac:dyDescent="0.3">
      <c r="A308">
        <v>1088</v>
      </c>
      <c r="B308" s="1">
        <v>45037</v>
      </c>
      <c r="C308" s="1">
        <f>DATE(YEAR(Table1[[#This Row],[Sale_Date]]), MONTH(Table1[[#This Row],[Sale_Date]]), 1)</f>
        <v>45017</v>
      </c>
      <c r="D308" t="s">
        <v>33</v>
      </c>
      <c r="E308" t="s">
        <v>34</v>
      </c>
      <c r="F308" s="2">
        <v>456.59</v>
      </c>
      <c r="G308">
        <v>29</v>
      </c>
      <c r="H308" t="s">
        <v>16</v>
      </c>
      <c r="I308" s="2">
        <v>639.58000000000004</v>
      </c>
      <c r="J308" s="2">
        <v>1107.45</v>
      </c>
      <c r="K308" t="s">
        <v>30</v>
      </c>
      <c r="L308" s="5">
        <v>0.28999999999999998</v>
      </c>
      <c r="M308" t="s">
        <v>18</v>
      </c>
      <c r="N308" t="s">
        <v>22</v>
      </c>
      <c r="O308" t="s">
        <v>36</v>
      </c>
      <c r="P308" s="4">
        <f t="shared" si="8"/>
        <v>22802.395499999999</v>
      </c>
      <c r="Q308" s="4">
        <f t="shared" si="9"/>
        <v>4254.5754999999981</v>
      </c>
      <c r="R308" t="str">
        <f>IF( Table1[[#This Row],[Total Amount after sale]] &gt; 0,"PROFIT","LOSS")</f>
        <v>PROFIT</v>
      </c>
      <c r="S308" s="3">
        <f>(Table1[[#This Row],[Total Amount after sale]]/Table1[[#This Row],[Price after discount]])</f>
        <v>0.18658458493977084</v>
      </c>
    </row>
    <row r="309" spans="1:19" x14ac:dyDescent="0.3">
      <c r="A309">
        <v>1047</v>
      </c>
      <c r="B309" s="1">
        <v>45037</v>
      </c>
      <c r="C309" s="1">
        <f>DATE(YEAR(Table1[[#This Row],[Sale_Date]]), MONTH(Table1[[#This Row],[Sale_Date]]), 1)</f>
        <v>45017</v>
      </c>
      <c r="D309" t="s">
        <v>38</v>
      </c>
      <c r="E309" t="s">
        <v>21</v>
      </c>
      <c r="F309" s="2">
        <v>6413.11</v>
      </c>
      <c r="G309">
        <v>17</v>
      </c>
      <c r="H309" t="s">
        <v>16</v>
      </c>
      <c r="I309" s="2">
        <v>1591.34</v>
      </c>
      <c r="J309" s="2">
        <v>2043.82</v>
      </c>
      <c r="K309" t="s">
        <v>30</v>
      </c>
      <c r="L309" s="5">
        <v>0.28999999999999998</v>
      </c>
      <c r="M309" t="s">
        <v>18</v>
      </c>
      <c r="N309" t="s">
        <v>22</v>
      </c>
      <c r="O309" t="s">
        <v>41</v>
      </c>
      <c r="P309" s="4">
        <f t="shared" si="8"/>
        <v>24668.907399999996</v>
      </c>
      <c r="Q309" s="4">
        <f t="shared" si="9"/>
        <v>-2383.872600000002</v>
      </c>
      <c r="R309" t="str">
        <f>IF( Table1[[#This Row],[Total Amount after sale]] &gt; 0,"PROFIT","LOSS")</f>
        <v>LOSS</v>
      </c>
      <c r="S309" s="3">
        <f>(Table1[[#This Row],[Total Amount after sale]]/Table1[[#This Row],[Price after discount]])</f>
        <v>-9.6634705434907195E-2</v>
      </c>
    </row>
    <row r="310" spans="1:19" x14ac:dyDescent="0.3">
      <c r="A310">
        <v>1090</v>
      </c>
      <c r="B310" s="1">
        <v>45037</v>
      </c>
      <c r="C310" s="1">
        <f>DATE(YEAR(Table1[[#This Row],[Sale_Date]]), MONTH(Table1[[#This Row],[Sale_Date]]), 1)</f>
        <v>45017</v>
      </c>
      <c r="D310" t="s">
        <v>24</v>
      </c>
      <c r="E310" t="s">
        <v>21</v>
      </c>
      <c r="F310" s="2">
        <v>4883.49</v>
      </c>
      <c r="G310">
        <v>35</v>
      </c>
      <c r="H310" t="s">
        <v>35</v>
      </c>
      <c r="I310" s="2">
        <v>1130.5999999999999</v>
      </c>
      <c r="J310" s="2">
        <v>1466.1799999999901</v>
      </c>
      <c r="K310" t="s">
        <v>17</v>
      </c>
      <c r="L310" s="5">
        <v>0.13</v>
      </c>
      <c r="M310" t="s">
        <v>18</v>
      </c>
      <c r="N310" t="s">
        <v>19</v>
      </c>
      <c r="O310" t="s">
        <v>47</v>
      </c>
      <c r="P310" s="4">
        <f t="shared" si="8"/>
        <v>44645.180999999699</v>
      </c>
      <c r="Q310" s="4">
        <f t="shared" si="9"/>
        <v>5074.180999999704</v>
      </c>
      <c r="R310" t="str">
        <f>IF( Table1[[#This Row],[Total Amount after sale]] &gt; 0,"PROFIT","LOSS")</f>
        <v>PROFIT</v>
      </c>
      <c r="S310" s="3">
        <f>(Table1[[#This Row],[Total Amount after sale]]/Table1[[#This Row],[Price after discount]])</f>
        <v>0.11365573811873982</v>
      </c>
    </row>
    <row r="311" spans="1:19" x14ac:dyDescent="0.3">
      <c r="A311">
        <v>1002</v>
      </c>
      <c r="B311" s="1">
        <v>45038</v>
      </c>
      <c r="C311" s="1">
        <f>DATE(YEAR(Table1[[#This Row],[Sale_Date]]), MONTH(Table1[[#This Row],[Sale_Date]]), 1)</f>
        <v>45017</v>
      </c>
      <c r="D311" t="s">
        <v>38</v>
      </c>
      <c r="E311" t="s">
        <v>15</v>
      </c>
      <c r="F311" s="2">
        <v>6551.23</v>
      </c>
      <c r="G311">
        <v>9</v>
      </c>
      <c r="H311" t="s">
        <v>35</v>
      </c>
      <c r="I311" s="2">
        <v>4398.16</v>
      </c>
      <c r="J311" s="2">
        <v>4439.12</v>
      </c>
      <c r="K311" t="s">
        <v>30</v>
      </c>
      <c r="L311" s="5">
        <v>0.18</v>
      </c>
      <c r="M311" t="s">
        <v>27</v>
      </c>
      <c r="N311" t="s">
        <v>19</v>
      </c>
      <c r="O311" t="s">
        <v>40</v>
      </c>
      <c r="P311" s="4">
        <f t="shared" si="8"/>
        <v>32760.705600000001</v>
      </c>
      <c r="Q311" s="4">
        <f t="shared" si="9"/>
        <v>-6822.7343999999957</v>
      </c>
      <c r="R311" t="str">
        <f>IF( Table1[[#This Row],[Total Amount after sale]] &gt; 0,"PROFIT","LOSS")</f>
        <v>LOSS</v>
      </c>
      <c r="S311" s="3">
        <f>(Table1[[#This Row],[Total Amount after sale]]/Table1[[#This Row],[Price after discount]])</f>
        <v>-0.20825969023084764</v>
      </c>
    </row>
    <row r="312" spans="1:19" x14ac:dyDescent="0.3">
      <c r="A312">
        <v>1061</v>
      </c>
      <c r="B312" s="1">
        <v>45038</v>
      </c>
      <c r="C312" s="1">
        <f>DATE(YEAR(Table1[[#This Row],[Sale_Date]]), MONTH(Table1[[#This Row],[Sale_Date]]), 1)</f>
        <v>45017</v>
      </c>
      <c r="D312" t="s">
        <v>38</v>
      </c>
      <c r="E312" t="s">
        <v>25</v>
      </c>
      <c r="F312" s="2">
        <v>8345.02</v>
      </c>
      <c r="G312">
        <v>39</v>
      </c>
      <c r="H312" t="s">
        <v>35</v>
      </c>
      <c r="I312" s="2">
        <v>3494.19</v>
      </c>
      <c r="J312" s="2">
        <v>3746</v>
      </c>
      <c r="K312" t="s">
        <v>17</v>
      </c>
      <c r="L312" s="5">
        <v>0.25</v>
      </c>
      <c r="M312" t="s">
        <v>27</v>
      </c>
      <c r="N312" t="s">
        <v>22</v>
      </c>
      <c r="O312" t="s">
        <v>39</v>
      </c>
      <c r="P312" s="4">
        <f t="shared" si="8"/>
        <v>109570.5</v>
      </c>
      <c r="Q312" s="4">
        <f t="shared" si="9"/>
        <v>-26702.910000000003</v>
      </c>
      <c r="R312" t="str">
        <f>IF( Table1[[#This Row],[Total Amount after sale]] &gt; 0,"PROFIT","LOSS")</f>
        <v>LOSS</v>
      </c>
      <c r="S312" s="3">
        <f>(Table1[[#This Row],[Total Amount after sale]]/Table1[[#This Row],[Price after discount]])</f>
        <v>-0.24370528563801391</v>
      </c>
    </row>
    <row r="313" spans="1:19" x14ac:dyDescent="0.3">
      <c r="A313">
        <v>1060</v>
      </c>
      <c r="B313" s="1">
        <v>45039</v>
      </c>
      <c r="C313" s="1">
        <f>DATE(YEAR(Table1[[#This Row],[Sale_Date]]), MONTH(Table1[[#This Row],[Sale_Date]]), 1)</f>
        <v>45017</v>
      </c>
      <c r="D313" t="s">
        <v>38</v>
      </c>
      <c r="E313" t="s">
        <v>34</v>
      </c>
      <c r="F313" s="2">
        <v>273.77</v>
      </c>
      <c r="G313">
        <v>23</v>
      </c>
      <c r="H313" t="s">
        <v>29</v>
      </c>
      <c r="I313" s="2">
        <v>4110.6000000000004</v>
      </c>
      <c r="J313" s="2">
        <v>4488.37</v>
      </c>
      <c r="K313" t="s">
        <v>30</v>
      </c>
      <c r="L313" s="5">
        <v>0.12</v>
      </c>
      <c r="M313" t="s">
        <v>31</v>
      </c>
      <c r="N313" t="s">
        <v>19</v>
      </c>
      <c r="O313" t="s">
        <v>48</v>
      </c>
      <c r="P313" s="4">
        <f t="shared" si="8"/>
        <v>90844.608799999987</v>
      </c>
      <c r="Q313" s="4">
        <f t="shared" si="9"/>
        <v>-3699.1912000000148</v>
      </c>
      <c r="R313" t="str">
        <f>IF( Table1[[#This Row],[Total Amount after sale]] &gt; 0,"PROFIT","LOSS")</f>
        <v>LOSS</v>
      </c>
      <c r="S313" s="3">
        <f>(Table1[[#This Row],[Total Amount after sale]]/Table1[[#This Row],[Price after discount]])</f>
        <v>-4.0719986016385545E-2</v>
      </c>
    </row>
    <row r="314" spans="1:19" x14ac:dyDescent="0.3">
      <c r="A314">
        <v>1033</v>
      </c>
      <c r="B314" s="1">
        <v>45039</v>
      </c>
      <c r="C314" s="1">
        <f>DATE(YEAR(Table1[[#This Row],[Sale_Date]]), MONTH(Table1[[#This Row],[Sale_Date]]), 1)</f>
        <v>45017</v>
      </c>
      <c r="D314" t="s">
        <v>33</v>
      </c>
      <c r="E314" t="s">
        <v>34</v>
      </c>
      <c r="F314" s="2">
        <v>7171.83</v>
      </c>
      <c r="G314">
        <v>44</v>
      </c>
      <c r="H314" t="s">
        <v>35</v>
      </c>
      <c r="I314" s="2">
        <v>1195.22</v>
      </c>
      <c r="J314" s="2">
        <v>1320.06</v>
      </c>
      <c r="K314" t="s">
        <v>17</v>
      </c>
      <c r="L314" s="5">
        <v>0.23</v>
      </c>
      <c r="M314" t="s">
        <v>27</v>
      </c>
      <c r="N314" t="s">
        <v>22</v>
      </c>
      <c r="O314" t="s">
        <v>36</v>
      </c>
      <c r="P314" s="4">
        <f t="shared" si="8"/>
        <v>44723.632799999999</v>
      </c>
      <c r="Q314" s="4">
        <f t="shared" si="9"/>
        <v>-7866.0472000000027</v>
      </c>
      <c r="R314" t="str">
        <f>IF( Table1[[#This Row],[Total Amount after sale]] &gt; 0,"PROFIT","LOSS")</f>
        <v>LOSS</v>
      </c>
      <c r="S314" s="3">
        <f>(Table1[[#This Row],[Total Amount after sale]]/Table1[[#This Row],[Price after discount]])</f>
        <v>-0.17588122224275132</v>
      </c>
    </row>
    <row r="315" spans="1:19" x14ac:dyDescent="0.3">
      <c r="A315">
        <v>1008</v>
      </c>
      <c r="B315" s="1">
        <v>45039</v>
      </c>
      <c r="C315" s="1">
        <f>DATE(YEAR(Table1[[#This Row],[Sale_Date]]), MONTH(Table1[[#This Row],[Sale_Date]]), 1)</f>
        <v>45017</v>
      </c>
      <c r="D315" t="s">
        <v>38</v>
      </c>
      <c r="E315" t="s">
        <v>15</v>
      </c>
      <c r="F315" s="2">
        <v>9154.0300000000007</v>
      </c>
      <c r="G315">
        <v>35</v>
      </c>
      <c r="H315" t="s">
        <v>29</v>
      </c>
      <c r="I315" s="2">
        <v>600.20000000000005</v>
      </c>
      <c r="J315" s="2">
        <v>1059.82</v>
      </c>
      <c r="K315" t="s">
        <v>17</v>
      </c>
      <c r="L315" s="5">
        <v>0.28999999999999998</v>
      </c>
      <c r="M315" t="s">
        <v>27</v>
      </c>
      <c r="N315" t="s">
        <v>22</v>
      </c>
      <c r="O315" t="s">
        <v>40</v>
      </c>
      <c r="P315" s="4">
        <f t="shared" si="8"/>
        <v>26336.526999999998</v>
      </c>
      <c r="Q315" s="4">
        <f t="shared" si="9"/>
        <v>5329.5269999999964</v>
      </c>
      <c r="R315" t="str">
        <f>IF( Table1[[#This Row],[Total Amount after sale]] &gt; 0,"PROFIT","LOSS")</f>
        <v>PROFIT</v>
      </c>
      <c r="S315" s="3">
        <f>(Table1[[#This Row],[Total Amount after sale]]/Table1[[#This Row],[Price after discount]])</f>
        <v>0.2023625590420482</v>
      </c>
    </row>
    <row r="316" spans="1:19" x14ac:dyDescent="0.3">
      <c r="A316">
        <v>1016</v>
      </c>
      <c r="B316" s="1">
        <v>45039</v>
      </c>
      <c r="C316" s="1">
        <f>DATE(YEAR(Table1[[#This Row],[Sale_Date]]), MONTH(Table1[[#This Row],[Sale_Date]]), 1)</f>
        <v>45017</v>
      </c>
      <c r="D316" t="s">
        <v>24</v>
      </c>
      <c r="E316" t="s">
        <v>25</v>
      </c>
      <c r="F316" s="2">
        <v>9961.9599999999991</v>
      </c>
      <c r="G316">
        <v>6</v>
      </c>
      <c r="H316" t="s">
        <v>16</v>
      </c>
      <c r="I316" s="2">
        <v>4502.09</v>
      </c>
      <c r="J316" s="2">
        <v>4879.72</v>
      </c>
      <c r="K316" t="s">
        <v>30</v>
      </c>
      <c r="L316" s="5">
        <v>0.13</v>
      </c>
      <c r="M316" t="s">
        <v>31</v>
      </c>
      <c r="N316" t="s">
        <v>19</v>
      </c>
      <c r="O316" t="s">
        <v>28</v>
      </c>
      <c r="P316" s="4">
        <f t="shared" si="8"/>
        <v>25472.138400000003</v>
      </c>
      <c r="Q316" s="4">
        <f t="shared" si="9"/>
        <v>-1540.4015999999974</v>
      </c>
      <c r="R316" t="str">
        <f>IF( Table1[[#This Row],[Total Amount after sale]] &gt; 0,"PROFIT","LOSS")</f>
        <v>LOSS</v>
      </c>
      <c r="S316" s="3">
        <f>(Table1[[#This Row],[Total Amount after sale]]/Table1[[#This Row],[Price after discount]])</f>
        <v>-6.0473980464867343E-2</v>
      </c>
    </row>
    <row r="317" spans="1:19" x14ac:dyDescent="0.3">
      <c r="A317">
        <v>1024</v>
      </c>
      <c r="B317" s="1">
        <v>45040</v>
      </c>
      <c r="C317" s="1">
        <f>DATE(YEAR(Table1[[#This Row],[Sale_Date]]), MONTH(Table1[[#This Row],[Sale_Date]]), 1)</f>
        <v>45017</v>
      </c>
      <c r="D317" t="s">
        <v>24</v>
      </c>
      <c r="E317" t="s">
        <v>15</v>
      </c>
      <c r="F317" s="2">
        <v>4670.99</v>
      </c>
      <c r="G317">
        <v>35</v>
      </c>
      <c r="H317" t="s">
        <v>16</v>
      </c>
      <c r="I317" s="2">
        <v>2051</v>
      </c>
      <c r="J317" s="2">
        <v>2121.5500000000002</v>
      </c>
      <c r="K317" t="s">
        <v>17</v>
      </c>
      <c r="L317" s="5">
        <v>0.26</v>
      </c>
      <c r="M317" t="s">
        <v>18</v>
      </c>
      <c r="N317" t="s">
        <v>22</v>
      </c>
      <c r="O317" t="s">
        <v>45</v>
      </c>
      <c r="P317" s="4">
        <f t="shared" si="8"/>
        <v>54948.145000000004</v>
      </c>
      <c r="Q317" s="4">
        <f t="shared" si="9"/>
        <v>-16836.854999999996</v>
      </c>
      <c r="R317" t="str">
        <f>IF( Table1[[#This Row],[Total Amount after sale]] &gt; 0,"PROFIT","LOSS")</f>
        <v>LOSS</v>
      </c>
      <c r="S317" s="3">
        <f>(Table1[[#This Row],[Total Amount after sale]]/Table1[[#This Row],[Price after discount]])</f>
        <v>-0.30641352860956445</v>
      </c>
    </row>
    <row r="318" spans="1:19" x14ac:dyDescent="0.3">
      <c r="A318">
        <v>1054</v>
      </c>
      <c r="B318" s="1">
        <v>45040</v>
      </c>
      <c r="C318" s="1">
        <f>DATE(YEAR(Table1[[#This Row],[Sale_Date]]), MONTH(Table1[[#This Row],[Sale_Date]]), 1)</f>
        <v>45017</v>
      </c>
      <c r="D318" t="s">
        <v>24</v>
      </c>
      <c r="E318" t="s">
        <v>15</v>
      </c>
      <c r="F318" s="2">
        <v>7524.78</v>
      </c>
      <c r="G318">
        <v>48</v>
      </c>
      <c r="H318" t="s">
        <v>26</v>
      </c>
      <c r="I318" s="2">
        <v>2316.92</v>
      </c>
      <c r="J318" s="2">
        <v>2462.63</v>
      </c>
      <c r="K318" t="s">
        <v>30</v>
      </c>
      <c r="L318" s="5">
        <v>0.04</v>
      </c>
      <c r="M318" t="s">
        <v>31</v>
      </c>
      <c r="N318" t="s">
        <v>19</v>
      </c>
      <c r="O318" t="s">
        <v>45</v>
      </c>
      <c r="P318" s="4">
        <f t="shared" si="8"/>
        <v>113477.99040000001</v>
      </c>
      <c r="Q318" s="4">
        <f t="shared" si="9"/>
        <v>2265.8303999999989</v>
      </c>
      <c r="R318" t="str">
        <f>IF( Table1[[#This Row],[Total Amount after sale]] &gt; 0,"PROFIT","LOSS")</f>
        <v>PROFIT</v>
      </c>
      <c r="S318" s="3">
        <f>(Table1[[#This Row],[Total Amount after sale]]/Table1[[#This Row],[Price after discount]])</f>
        <v>1.9967135406726403E-2</v>
      </c>
    </row>
    <row r="319" spans="1:19" x14ac:dyDescent="0.3">
      <c r="A319">
        <v>1075</v>
      </c>
      <c r="B319" s="1">
        <v>45041</v>
      </c>
      <c r="C319" s="1">
        <f>DATE(YEAR(Table1[[#This Row],[Sale_Date]]), MONTH(Table1[[#This Row],[Sale_Date]]), 1)</f>
        <v>45017</v>
      </c>
      <c r="D319" t="s">
        <v>24</v>
      </c>
      <c r="E319" t="s">
        <v>21</v>
      </c>
      <c r="F319" s="2">
        <v>4038.58</v>
      </c>
      <c r="G319">
        <v>44</v>
      </c>
      <c r="H319" t="s">
        <v>16</v>
      </c>
      <c r="I319" s="2">
        <v>3519.29</v>
      </c>
      <c r="J319" s="2">
        <v>3822.98</v>
      </c>
      <c r="K319" t="s">
        <v>17</v>
      </c>
      <c r="L319" s="5">
        <v>0.27</v>
      </c>
      <c r="M319" t="s">
        <v>27</v>
      </c>
      <c r="N319" t="s">
        <v>19</v>
      </c>
      <c r="O319" t="s">
        <v>47</v>
      </c>
      <c r="P319" s="4">
        <f t="shared" si="8"/>
        <v>122794.1176</v>
      </c>
      <c r="Q319" s="4">
        <f t="shared" si="9"/>
        <v>-32054.642399999997</v>
      </c>
      <c r="R319" t="str">
        <f>IF( Table1[[#This Row],[Total Amount after sale]] &gt; 0,"PROFIT","LOSS")</f>
        <v>LOSS</v>
      </c>
      <c r="S319" s="3">
        <f>(Table1[[#This Row],[Total Amount after sale]]/Table1[[#This Row],[Price after discount]])</f>
        <v>-0.26104379449525028</v>
      </c>
    </row>
    <row r="320" spans="1:19" x14ac:dyDescent="0.3">
      <c r="A320">
        <v>1095</v>
      </c>
      <c r="B320" s="1">
        <v>45041</v>
      </c>
      <c r="C320" s="1">
        <f>DATE(YEAR(Table1[[#This Row],[Sale_Date]]), MONTH(Table1[[#This Row],[Sale_Date]]), 1)</f>
        <v>45017</v>
      </c>
      <c r="D320" t="s">
        <v>14</v>
      </c>
      <c r="E320" t="s">
        <v>25</v>
      </c>
      <c r="F320" s="2">
        <v>9805.65</v>
      </c>
      <c r="G320">
        <v>10</v>
      </c>
      <c r="H320" t="s">
        <v>35</v>
      </c>
      <c r="I320" s="2">
        <v>3155.97</v>
      </c>
      <c r="J320" s="2">
        <v>3263.49</v>
      </c>
      <c r="K320" t="s">
        <v>17</v>
      </c>
      <c r="L320" s="5">
        <v>0.04</v>
      </c>
      <c r="M320" t="s">
        <v>31</v>
      </c>
      <c r="N320" t="s">
        <v>19</v>
      </c>
      <c r="O320" t="s">
        <v>32</v>
      </c>
      <c r="P320" s="4">
        <f t="shared" si="8"/>
        <v>31329.503999999997</v>
      </c>
      <c r="Q320" s="4">
        <f t="shared" si="9"/>
        <v>-230.19600000000082</v>
      </c>
      <c r="R320" t="str">
        <f>IF( Table1[[#This Row],[Total Amount after sale]] &gt; 0,"PROFIT","LOSS")</f>
        <v>LOSS</v>
      </c>
      <c r="S320" s="3">
        <f>(Table1[[#This Row],[Total Amount after sale]]/Table1[[#This Row],[Price after discount]])</f>
        <v>-7.3475788189944161E-3</v>
      </c>
    </row>
    <row r="321" spans="1:19" x14ac:dyDescent="0.3">
      <c r="A321">
        <v>1039</v>
      </c>
      <c r="B321" s="1">
        <v>45041</v>
      </c>
      <c r="C321" s="1">
        <f>DATE(YEAR(Table1[[#This Row],[Sale_Date]]), MONTH(Table1[[#This Row],[Sale_Date]]), 1)</f>
        <v>45017</v>
      </c>
      <c r="D321" t="s">
        <v>42</v>
      </c>
      <c r="E321" t="s">
        <v>34</v>
      </c>
      <c r="F321" s="2">
        <v>5830.19</v>
      </c>
      <c r="G321">
        <v>24</v>
      </c>
      <c r="H321" t="s">
        <v>29</v>
      </c>
      <c r="I321" s="2">
        <v>2615.48</v>
      </c>
      <c r="J321" s="2">
        <v>3062.22</v>
      </c>
      <c r="K321" t="s">
        <v>30</v>
      </c>
      <c r="L321" s="5">
        <v>0.19</v>
      </c>
      <c r="M321" t="s">
        <v>27</v>
      </c>
      <c r="N321" t="s">
        <v>22</v>
      </c>
      <c r="O321" t="s">
        <v>52</v>
      </c>
      <c r="P321" s="4">
        <f t="shared" si="8"/>
        <v>59529.556800000006</v>
      </c>
      <c r="Q321" s="4">
        <f t="shared" si="9"/>
        <v>-3241.9631999999983</v>
      </c>
      <c r="R321" t="str">
        <f>IF( Table1[[#This Row],[Total Amount after sale]] &gt; 0,"PROFIT","LOSS")</f>
        <v>LOSS</v>
      </c>
      <c r="S321" s="3">
        <f>(Table1[[#This Row],[Total Amount after sale]]/Table1[[#This Row],[Price after discount]])</f>
        <v>-5.4459723442792339E-2</v>
      </c>
    </row>
    <row r="322" spans="1:19" x14ac:dyDescent="0.3">
      <c r="A322">
        <v>1075</v>
      </c>
      <c r="B322" s="1">
        <v>45042</v>
      </c>
      <c r="C322" s="1">
        <f>DATE(YEAR(Table1[[#This Row],[Sale_Date]]), MONTH(Table1[[#This Row],[Sale_Date]]), 1)</f>
        <v>45017</v>
      </c>
      <c r="D322" t="s">
        <v>24</v>
      </c>
      <c r="E322" t="s">
        <v>25</v>
      </c>
      <c r="F322" s="2">
        <v>1457.77</v>
      </c>
      <c r="G322">
        <v>37</v>
      </c>
      <c r="H322" t="s">
        <v>35</v>
      </c>
      <c r="I322" s="2">
        <v>4399.8</v>
      </c>
      <c r="J322" s="2">
        <v>4801.0600000000004</v>
      </c>
      <c r="K322" t="s">
        <v>30</v>
      </c>
      <c r="L322" s="5">
        <v>0.13</v>
      </c>
      <c r="M322" t="s">
        <v>27</v>
      </c>
      <c r="N322" t="s">
        <v>22</v>
      </c>
      <c r="O322" t="s">
        <v>28</v>
      </c>
      <c r="P322" s="4">
        <f t="shared" ref="P322:P385" si="10" xml:space="preserve"> J322 * (1 - L322) * G322</f>
        <v>154546.1214</v>
      </c>
      <c r="Q322" s="4">
        <f t="shared" ref="Q322:Q385" si="11" xml:space="preserve"> (J322 * (1 - L322) - I322) * G322</f>
        <v>-8246.4786000000076</v>
      </c>
      <c r="R322" t="str">
        <f>IF( Table1[[#This Row],[Total Amount after sale]] &gt; 0,"PROFIT","LOSS")</f>
        <v>LOSS</v>
      </c>
      <c r="S322" s="3">
        <f>(Table1[[#This Row],[Total Amount after sale]]/Table1[[#This Row],[Price after discount]])</f>
        <v>-5.3359337169363655E-2</v>
      </c>
    </row>
    <row r="323" spans="1:19" x14ac:dyDescent="0.3">
      <c r="A323">
        <v>1024</v>
      </c>
      <c r="B323" s="1">
        <v>45043</v>
      </c>
      <c r="C323" s="1">
        <f>DATE(YEAR(Table1[[#This Row],[Sale_Date]]), MONTH(Table1[[#This Row],[Sale_Date]]), 1)</f>
        <v>45017</v>
      </c>
      <c r="D323" t="s">
        <v>42</v>
      </c>
      <c r="E323" t="s">
        <v>21</v>
      </c>
      <c r="F323" s="2">
        <v>7734.12</v>
      </c>
      <c r="G323">
        <v>42</v>
      </c>
      <c r="H323" t="s">
        <v>26</v>
      </c>
      <c r="I323" s="2">
        <v>2069.0500000000002</v>
      </c>
      <c r="J323" s="2">
        <v>2363.9</v>
      </c>
      <c r="K323" t="s">
        <v>17</v>
      </c>
      <c r="L323" s="5">
        <v>7.0000000000000007E-2</v>
      </c>
      <c r="M323" t="s">
        <v>18</v>
      </c>
      <c r="N323" t="s">
        <v>19</v>
      </c>
      <c r="O323" t="s">
        <v>51</v>
      </c>
      <c r="P323" s="4">
        <f t="shared" si="10"/>
        <v>92333.934000000008</v>
      </c>
      <c r="Q323" s="4">
        <f t="shared" si="11"/>
        <v>5433.833999999998</v>
      </c>
      <c r="R323" t="str">
        <f>IF( Table1[[#This Row],[Total Amount after sale]] &gt; 0,"PROFIT","LOSS")</f>
        <v>PROFIT</v>
      </c>
      <c r="S323" s="3">
        <f>(Table1[[#This Row],[Total Amount after sale]]/Table1[[#This Row],[Price after discount]])</f>
        <v>5.8849804883218747E-2</v>
      </c>
    </row>
    <row r="324" spans="1:19" x14ac:dyDescent="0.3">
      <c r="A324">
        <v>1020</v>
      </c>
      <c r="B324" s="1">
        <v>45043</v>
      </c>
      <c r="C324" s="1">
        <f>DATE(YEAR(Table1[[#This Row],[Sale_Date]]), MONTH(Table1[[#This Row],[Sale_Date]]), 1)</f>
        <v>45017</v>
      </c>
      <c r="D324" t="s">
        <v>42</v>
      </c>
      <c r="E324" t="s">
        <v>25</v>
      </c>
      <c r="F324" s="2">
        <v>7095.64</v>
      </c>
      <c r="G324">
        <v>33</v>
      </c>
      <c r="H324" t="s">
        <v>16</v>
      </c>
      <c r="I324" s="2">
        <v>4772.03</v>
      </c>
      <c r="J324" s="2">
        <v>4805.17</v>
      </c>
      <c r="K324" t="s">
        <v>17</v>
      </c>
      <c r="L324" s="5">
        <v>0.28000000000000003</v>
      </c>
      <c r="M324" t="s">
        <v>27</v>
      </c>
      <c r="N324" t="s">
        <v>19</v>
      </c>
      <c r="O324" t="s">
        <v>43</v>
      </c>
      <c r="P324" s="4">
        <f t="shared" si="10"/>
        <v>114170.8392</v>
      </c>
      <c r="Q324" s="4">
        <f t="shared" si="11"/>
        <v>-43306.150799999989</v>
      </c>
      <c r="R324" t="str">
        <f>IF( Table1[[#This Row],[Total Amount after sale]] &gt; 0,"PROFIT","LOSS")</f>
        <v>LOSS</v>
      </c>
      <c r="S324" s="3">
        <f>(Table1[[#This Row],[Total Amount after sale]]/Table1[[#This Row],[Price after discount]])</f>
        <v>-0.37931008568779956</v>
      </c>
    </row>
    <row r="325" spans="1:19" x14ac:dyDescent="0.3">
      <c r="A325">
        <v>1001</v>
      </c>
      <c r="B325" s="1">
        <v>45043</v>
      </c>
      <c r="C325" s="1">
        <f>DATE(YEAR(Table1[[#This Row],[Sale_Date]]), MONTH(Table1[[#This Row],[Sale_Date]]), 1)</f>
        <v>45017</v>
      </c>
      <c r="D325" t="s">
        <v>38</v>
      </c>
      <c r="E325" t="s">
        <v>34</v>
      </c>
      <c r="F325" s="2">
        <v>3167.09</v>
      </c>
      <c r="G325">
        <v>25</v>
      </c>
      <c r="H325" t="s">
        <v>35</v>
      </c>
      <c r="I325" s="2">
        <v>1330.62</v>
      </c>
      <c r="J325" s="2">
        <v>1543.6899999999901</v>
      </c>
      <c r="K325" t="s">
        <v>30</v>
      </c>
      <c r="L325" s="5">
        <v>0.27</v>
      </c>
      <c r="M325" t="s">
        <v>31</v>
      </c>
      <c r="N325" t="s">
        <v>19</v>
      </c>
      <c r="O325" t="s">
        <v>48</v>
      </c>
      <c r="P325" s="4">
        <f t="shared" si="10"/>
        <v>28172.342499999821</v>
      </c>
      <c r="Q325" s="4">
        <f t="shared" si="11"/>
        <v>-5093.1575000001776</v>
      </c>
      <c r="R325" t="str">
        <f>IF( Table1[[#This Row],[Total Amount after sale]] &gt; 0,"PROFIT","LOSS")</f>
        <v>LOSS</v>
      </c>
      <c r="S325" s="3">
        <f>(Table1[[#This Row],[Total Amount after sale]]/Table1[[#This Row],[Price after discount]])</f>
        <v>-0.18078572983415242</v>
      </c>
    </row>
    <row r="326" spans="1:19" x14ac:dyDescent="0.3">
      <c r="A326">
        <v>1064</v>
      </c>
      <c r="B326" s="1">
        <v>45043</v>
      </c>
      <c r="C326" s="1">
        <f>DATE(YEAR(Table1[[#This Row],[Sale_Date]]), MONTH(Table1[[#This Row],[Sale_Date]]), 1)</f>
        <v>45017</v>
      </c>
      <c r="D326" t="s">
        <v>14</v>
      </c>
      <c r="E326" t="s">
        <v>15</v>
      </c>
      <c r="F326" s="2">
        <v>717.7</v>
      </c>
      <c r="G326">
        <v>13</v>
      </c>
      <c r="H326" t="s">
        <v>29</v>
      </c>
      <c r="I326" s="2">
        <v>1645.51</v>
      </c>
      <c r="J326" s="2">
        <v>2045.53</v>
      </c>
      <c r="K326" t="s">
        <v>17</v>
      </c>
      <c r="L326" s="5">
        <v>0.28000000000000003</v>
      </c>
      <c r="M326" t="s">
        <v>18</v>
      </c>
      <c r="N326" t="s">
        <v>22</v>
      </c>
      <c r="O326" t="s">
        <v>20</v>
      </c>
      <c r="P326" s="4">
        <f t="shared" si="10"/>
        <v>19146.160800000001</v>
      </c>
      <c r="Q326" s="4">
        <f t="shared" si="11"/>
        <v>-2245.4691999999995</v>
      </c>
      <c r="R326" t="str">
        <f>IF( Table1[[#This Row],[Total Amount after sale]] &gt; 0,"PROFIT","LOSS")</f>
        <v>LOSS</v>
      </c>
      <c r="S326" s="3">
        <f>(Table1[[#This Row],[Total Amount after sale]]/Table1[[#This Row],[Price after discount]])</f>
        <v>-0.11728038970611797</v>
      </c>
    </row>
    <row r="327" spans="1:19" x14ac:dyDescent="0.3">
      <c r="A327">
        <v>1018</v>
      </c>
      <c r="B327" s="1">
        <v>45043</v>
      </c>
      <c r="C327" s="1">
        <f>DATE(YEAR(Table1[[#This Row],[Sale_Date]]), MONTH(Table1[[#This Row],[Sale_Date]]), 1)</f>
        <v>45017</v>
      </c>
      <c r="D327" t="s">
        <v>24</v>
      </c>
      <c r="E327" t="s">
        <v>25</v>
      </c>
      <c r="F327" s="2">
        <v>7629.7</v>
      </c>
      <c r="G327">
        <v>17</v>
      </c>
      <c r="H327" t="s">
        <v>29</v>
      </c>
      <c r="I327" s="2">
        <v>355.72</v>
      </c>
      <c r="J327" s="2">
        <v>438.27</v>
      </c>
      <c r="K327" t="s">
        <v>17</v>
      </c>
      <c r="L327" s="5">
        <v>0.06</v>
      </c>
      <c r="M327" t="s">
        <v>27</v>
      </c>
      <c r="N327" t="s">
        <v>19</v>
      </c>
      <c r="O327" t="s">
        <v>28</v>
      </c>
      <c r="P327" s="4">
        <f t="shared" si="10"/>
        <v>7003.5545999999995</v>
      </c>
      <c r="Q327" s="4">
        <f t="shared" si="11"/>
        <v>956.31459999999925</v>
      </c>
      <c r="R327" t="str">
        <f>IF( Table1[[#This Row],[Total Amount after sale]] &gt; 0,"PROFIT","LOSS")</f>
        <v>PROFIT</v>
      </c>
      <c r="S327" s="3">
        <f>(Table1[[#This Row],[Total Amount after sale]]/Table1[[#This Row],[Price after discount]])</f>
        <v>0.13654703284529249</v>
      </c>
    </row>
    <row r="328" spans="1:19" x14ac:dyDescent="0.3">
      <c r="A328">
        <v>1003</v>
      </c>
      <c r="B328" s="1">
        <v>45044</v>
      </c>
      <c r="C328" s="1">
        <f>DATE(YEAR(Table1[[#This Row],[Sale_Date]]), MONTH(Table1[[#This Row],[Sale_Date]]), 1)</f>
        <v>45017</v>
      </c>
      <c r="D328" t="s">
        <v>33</v>
      </c>
      <c r="E328" t="s">
        <v>25</v>
      </c>
      <c r="F328" s="2">
        <v>5991.8</v>
      </c>
      <c r="G328">
        <v>27</v>
      </c>
      <c r="H328" t="s">
        <v>16</v>
      </c>
      <c r="I328" s="2">
        <v>623.32000000000005</v>
      </c>
      <c r="J328" s="2">
        <v>853.66</v>
      </c>
      <c r="K328" t="s">
        <v>17</v>
      </c>
      <c r="L328" s="5">
        <v>0.04</v>
      </c>
      <c r="M328" t="s">
        <v>18</v>
      </c>
      <c r="N328" t="s">
        <v>19</v>
      </c>
      <c r="O328" t="s">
        <v>44</v>
      </c>
      <c r="P328" s="4">
        <f t="shared" si="10"/>
        <v>22126.867199999997</v>
      </c>
      <c r="Q328" s="4">
        <f t="shared" si="11"/>
        <v>5297.2271999999957</v>
      </c>
      <c r="R328" t="str">
        <f>IF( Table1[[#This Row],[Total Amount after sale]] &gt; 0,"PROFIT","LOSS")</f>
        <v>PROFIT</v>
      </c>
      <c r="S328" s="3">
        <f>(Table1[[#This Row],[Total Amount after sale]]/Table1[[#This Row],[Price after discount]])</f>
        <v>0.23940249435762856</v>
      </c>
    </row>
    <row r="329" spans="1:19" x14ac:dyDescent="0.3">
      <c r="A329">
        <v>1009</v>
      </c>
      <c r="B329" s="1">
        <v>45044</v>
      </c>
      <c r="C329" s="1">
        <f>DATE(YEAR(Table1[[#This Row],[Sale_Date]]), MONTH(Table1[[#This Row],[Sale_Date]]), 1)</f>
        <v>45017</v>
      </c>
      <c r="D329" t="s">
        <v>42</v>
      </c>
      <c r="E329" t="s">
        <v>15</v>
      </c>
      <c r="F329" s="2">
        <v>1342.95</v>
      </c>
      <c r="G329">
        <v>33</v>
      </c>
      <c r="H329" t="s">
        <v>29</v>
      </c>
      <c r="I329" s="2">
        <v>2278.9</v>
      </c>
      <c r="J329" s="2">
        <v>2626.9</v>
      </c>
      <c r="K329" t="s">
        <v>30</v>
      </c>
      <c r="L329" s="5">
        <v>0.05</v>
      </c>
      <c r="M329" t="s">
        <v>31</v>
      </c>
      <c r="N329" t="s">
        <v>19</v>
      </c>
      <c r="O329" t="s">
        <v>49</v>
      </c>
      <c r="P329" s="4">
        <f t="shared" si="10"/>
        <v>82353.314999999988</v>
      </c>
      <c r="Q329" s="4">
        <f t="shared" si="11"/>
        <v>7149.6149999999916</v>
      </c>
      <c r="R329" t="str">
        <f>IF( Table1[[#This Row],[Total Amount after sale]] &gt; 0,"PROFIT","LOSS")</f>
        <v>PROFIT</v>
      </c>
      <c r="S329" s="3">
        <f>(Table1[[#This Row],[Total Amount after sale]]/Table1[[#This Row],[Price after discount]])</f>
        <v>8.6816359487168093E-2</v>
      </c>
    </row>
    <row r="330" spans="1:19" x14ac:dyDescent="0.3">
      <c r="A330">
        <v>1036</v>
      </c>
      <c r="B330" s="1">
        <v>45044</v>
      </c>
      <c r="C330" s="1">
        <f>DATE(YEAR(Table1[[#This Row],[Sale_Date]]), MONTH(Table1[[#This Row],[Sale_Date]]), 1)</f>
        <v>45017</v>
      </c>
      <c r="D330" t="s">
        <v>33</v>
      </c>
      <c r="E330" t="s">
        <v>21</v>
      </c>
      <c r="F330" s="2">
        <v>7739.11</v>
      </c>
      <c r="G330">
        <v>25</v>
      </c>
      <c r="H330" t="s">
        <v>16</v>
      </c>
      <c r="I330" s="2">
        <v>4037.73</v>
      </c>
      <c r="J330" s="2">
        <v>4446.45</v>
      </c>
      <c r="K330" t="s">
        <v>17</v>
      </c>
      <c r="L330" s="5">
        <v>0.09</v>
      </c>
      <c r="M330" t="s">
        <v>27</v>
      </c>
      <c r="N330" t="s">
        <v>19</v>
      </c>
      <c r="O330" t="s">
        <v>37</v>
      </c>
      <c r="P330" s="4">
        <f t="shared" si="10"/>
        <v>101156.7375</v>
      </c>
      <c r="Q330" s="4">
        <f t="shared" si="11"/>
        <v>213.48749999999654</v>
      </c>
      <c r="R330" t="str">
        <f>IF( Table1[[#This Row],[Total Amount after sale]] &gt; 0,"PROFIT","LOSS")</f>
        <v>PROFIT</v>
      </c>
      <c r="S330" s="3">
        <f>(Table1[[#This Row],[Total Amount after sale]]/Table1[[#This Row],[Price after discount]])</f>
        <v>2.1104624889666545E-3</v>
      </c>
    </row>
    <row r="331" spans="1:19" x14ac:dyDescent="0.3">
      <c r="A331">
        <v>1023</v>
      </c>
      <c r="B331" s="1">
        <v>45044</v>
      </c>
      <c r="C331" s="1">
        <f>DATE(YEAR(Table1[[#This Row],[Sale_Date]]), MONTH(Table1[[#This Row],[Sale_Date]]), 1)</f>
        <v>45017</v>
      </c>
      <c r="D331" t="s">
        <v>33</v>
      </c>
      <c r="E331" t="s">
        <v>15</v>
      </c>
      <c r="F331" s="2">
        <v>9850.1</v>
      </c>
      <c r="G331">
        <v>5</v>
      </c>
      <c r="H331" t="s">
        <v>35</v>
      </c>
      <c r="I331" s="2">
        <v>2311.25</v>
      </c>
      <c r="J331" s="2">
        <v>2482.34</v>
      </c>
      <c r="K331" t="s">
        <v>17</v>
      </c>
      <c r="L331" s="5">
        <v>0.22</v>
      </c>
      <c r="M331" t="s">
        <v>31</v>
      </c>
      <c r="N331" t="s">
        <v>22</v>
      </c>
      <c r="O331" t="s">
        <v>53</v>
      </c>
      <c r="P331" s="4">
        <f t="shared" si="10"/>
        <v>9681.1260000000002</v>
      </c>
      <c r="Q331" s="4">
        <f t="shared" si="11"/>
        <v>-1875.1239999999996</v>
      </c>
      <c r="R331" t="str">
        <f>IF( Table1[[#This Row],[Total Amount after sale]] &gt; 0,"PROFIT","LOSS")</f>
        <v>LOSS</v>
      </c>
      <c r="S331" s="3">
        <f>(Table1[[#This Row],[Total Amount after sale]]/Table1[[#This Row],[Price after discount]])</f>
        <v>-0.19368862671552869</v>
      </c>
    </row>
    <row r="332" spans="1:19" x14ac:dyDescent="0.3">
      <c r="A332">
        <v>1093</v>
      </c>
      <c r="B332" s="1">
        <v>45045</v>
      </c>
      <c r="C332" s="1">
        <f>DATE(YEAR(Table1[[#This Row],[Sale_Date]]), MONTH(Table1[[#This Row],[Sale_Date]]), 1)</f>
        <v>45017</v>
      </c>
      <c r="D332" t="s">
        <v>42</v>
      </c>
      <c r="E332" t="s">
        <v>15</v>
      </c>
      <c r="F332" s="2">
        <v>7353.72</v>
      </c>
      <c r="G332">
        <v>34</v>
      </c>
      <c r="H332" t="s">
        <v>26</v>
      </c>
      <c r="I332" s="2">
        <v>4201.1099999999997</v>
      </c>
      <c r="J332" s="2">
        <v>4436.5</v>
      </c>
      <c r="K332" t="s">
        <v>30</v>
      </c>
      <c r="L332" s="5">
        <v>0.05</v>
      </c>
      <c r="M332" t="s">
        <v>18</v>
      </c>
      <c r="N332" t="s">
        <v>19</v>
      </c>
      <c r="O332" t="s">
        <v>49</v>
      </c>
      <c r="P332" s="4">
        <f t="shared" si="10"/>
        <v>143298.95000000001</v>
      </c>
      <c r="Q332" s="4">
        <f t="shared" si="11"/>
        <v>461.21000000001732</v>
      </c>
      <c r="R332" t="str">
        <f>IF( Table1[[#This Row],[Total Amount after sale]] &gt; 0,"PROFIT","LOSS")</f>
        <v>PROFIT</v>
      </c>
      <c r="S332" s="3">
        <f>(Table1[[#This Row],[Total Amount after sale]]/Table1[[#This Row],[Price after discount]])</f>
        <v>3.2185162557019243E-3</v>
      </c>
    </row>
    <row r="333" spans="1:19" x14ac:dyDescent="0.3">
      <c r="A333">
        <v>1056</v>
      </c>
      <c r="B333" s="1">
        <v>45045</v>
      </c>
      <c r="C333" s="1">
        <f>DATE(YEAR(Table1[[#This Row],[Sale_Date]]), MONTH(Table1[[#This Row],[Sale_Date]]), 1)</f>
        <v>45017</v>
      </c>
      <c r="D333" t="s">
        <v>33</v>
      </c>
      <c r="E333" t="s">
        <v>15</v>
      </c>
      <c r="F333" s="2">
        <v>8274.5400000000009</v>
      </c>
      <c r="G333">
        <v>10</v>
      </c>
      <c r="H333" t="s">
        <v>29</v>
      </c>
      <c r="I333" s="2">
        <v>536.80999999999995</v>
      </c>
      <c r="J333" s="2">
        <v>839.92</v>
      </c>
      <c r="K333" t="s">
        <v>17</v>
      </c>
      <c r="L333" s="5">
        <v>0.15</v>
      </c>
      <c r="M333" t="s">
        <v>27</v>
      </c>
      <c r="N333" t="s">
        <v>19</v>
      </c>
      <c r="O333" t="s">
        <v>53</v>
      </c>
      <c r="P333" s="4">
        <f t="shared" si="10"/>
        <v>7139.3199999999988</v>
      </c>
      <c r="Q333" s="4">
        <f t="shared" si="11"/>
        <v>1771.2199999999996</v>
      </c>
      <c r="R333" t="str">
        <f>IF( Table1[[#This Row],[Total Amount after sale]] &gt; 0,"PROFIT","LOSS")</f>
        <v>PROFIT</v>
      </c>
      <c r="S333" s="3">
        <f>(Table1[[#This Row],[Total Amount after sale]]/Table1[[#This Row],[Price after discount]])</f>
        <v>0.24809365597844052</v>
      </c>
    </row>
    <row r="334" spans="1:19" x14ac:dyDescent="0.3">
      <c r="A334">
        <v>1051</v>
      </c>
      <c r="B334" s="1">
        <v>45046</v>
      </c>
      <c r="C334" s="1">
        <f>DATE(YEAR(Table1[[#This Row],[Sale_Date]]), MONTH(Table1[[#This Row],[Sale_Date]]), 1)</f>
        <v>45017</v>
      </c>
      <c r="D334" t="s">
        <v>14</v>
      </c>
      <c r="E334" t="s">
        <v>21</v>
      </c>
      <c r="F334" s="2">
        <v>5571.8</v>
      </c>
      <c r="G334">
        <v>3</v>
      </c>
      <c r="H334" t="s">
        <v>26</v>
      </c>
      <c r="I334" s="2">
        <v>1000.18</v>
      </c>
      <c r="J334" s="2">
        <v>1023.64</v>
      </c>
      <c r="K334" t="s">
        <v>17</v>
      </c>
      <c r="L334" s="5">
        <v>0.04</v>
      </c>
      <c r="M334" t="s">
        <v>31</v>
      </c>
      <c r="N334" t="s">
        <v>19</v>
      </c>
      <c r="O334" t="s">
        <v>23</v>
      </c>
      <c r="P334" s="4">
        <f t="shared" si="10"/>
        <v>2948.0832</v>
      </c>
      <c r="Q334" s="4">
        <f t="shared" si="11"/>
        <v>-52.45679999999993</v>
      </c>
      <c r="R334" t="str">
        <f>IF( Table1[[#This Row],[Total Amount after sale]] &gt; 0,"PROFIT","LOSS")</f>
        <v>LOSS</v>
      </c>
      <c r="S334" s="3">
        <f>(Table1[[#This Row],[Total Amount after sale]]/Table1[[#This Row],[Price after discount]])</f>
        <v>-1.7793527672489002E-2</v>
      </c>
    </row>
    <row r="335" spans="1:19" x14ac:dyDescent="0.3">
      <c r="A335">
        <v>1032</v>
      </c>
      <c r="B335" s="1">
        <v>45046</v>
      </c>
      <c r="C335" s="1">
        <f>DATE(YEAR(Table1[[#This Row],[Sale_Date]]), MONTH(Table1[[#This Row],[Sale_Date]]), 1)</f>
        <v>45017</v>
      </c>
      <c r="D335" t="s">
        <v>42</v>
      </c>
      <c r="E335" t="s">
        <v>21</v>
      </c>
      <c r="F335" s="2">
        <v>4241.51</v>
      </c>
      <c r="G335">
        <v>18</v>
      </c>
      <c r="H335" t="s">
        <v>35</v>
      </c>
      <c r="I335" s="2">
        <v>2466.1799999999998</v>
      </c>
      <c r="J335" s="2">
        <v>2483.87</v>
      </c>
      <c r="K335" t="s">
        <v>17</v>
      </c>
      <c r="L335" s="5">
        <v>0.08</v>
      </c>
      <c r="M335" t="s">
        <v>18</v>
      </c>
      <c r="N335" t="s">
        <v>19</v>
      </c>
      <c r="O335" t="s">
        <v>51</v>
      </c>
      <c r="P335" s="4">
        <f t="shared" si="10"/>
        <v>41132.887200000005</v>
      </c>
      <c r="Q335" s="4">
        <f t="shared" si="11"/>
        <v>-3258.3527999999933</v>
      </c>
      <c r="R335" t="str">
        <f>IF( Table1[[#This Row],[Total Amount after sale]] &gt; 0,"PROFIT","LOSS")</f>
        <v>LOSS</v>
      </c>
      <c r="S335" s="3">
        <f>(Table1[[#This Row],[Total Amount after sale]]/Table1[[#This Row],[Price after discount]])</f>
        <v>-7.9215270840506252E-2</v>
      </c>
    </row>
    <row r="336" spans="1:19" x14ac:dyDescent="0.3">
      <c r="A336">
        <v>1076</v>
      </c>
      <c r="B336" s="1">
        <v>45046</v>
      </c>
      <c r="C336" s="1">
        <f>DATE(YEAR(Table1[[#This Row],[Sale_Date]]), MONTH(Table1[[#This Row],[Sale_Date]]), 1)</f>
        <v>45017</v>
      </c>
      <c r="D336" t="s">
        <v>38</v>
      </c>
      <c r="E336" t="s">
        <v>21</v>
      </c>
      <c r="F336" s="2">
        <v>3279.51</v>
      </c>
      <c r="G336">
        <v>32</v>
      </c>
      <c r="H336" t="s">
        <v>29</v>
      </c>
      <c r="I336" s="2">
        <v>4337.82</v>
      </c>
      <c r="J336" s="2">
        <v>4460.71</v>
      </c>
      <c r="K336" t="s">
        <v>17</v>
      </c>
      <c r="L336" s="5">
        <v>0.3</v>
      </c>
      <c r="M336" t="s">
        <v>18</v>
      </c>
      <c r="N336" t="s">
        <v>22</v>
      </c>
      <c r="O336" t="s">
        <v>41</v>
      </c>
      <c r="P336" s="4">
        <f t="shared" si="10"/>
        <v>99919.903999999995</v>
      </c>
      <c r="Q336" s="4">
        <f t="shared" si="11"/>
        <v>-38890.335999999996</v>
      </c>
      <c r="R336" t="str">
        <f>IF( Table1[[#This Row],[Total Amount after sale]] &gt; 0,"PROFIT","LOSS")</f>
        <v>LOSS</v>
      </c>
      <c r="S336" s="3">
        <f>(Table1[[#This Row],[Total Amount after sale]]/Table1[[#This Row],[Price after discount]])</f>
        <v>-0.38921510573108636</v>
      </c>
    </row>
    <row r="337" spans="1:19" x14ac:dyDescent="0.3">
      <c r="A337">
        <v>1006</v>
      </c>
      <c r="B337" s="1">
        <v>45046</v>
      </c>
      <c r="C337" s="1">
        <f>DATE(YEAR(Table1[[#This Row],[Sale_Date]]), MONTH(Table1[[#This Row],[Sale_Date]]), 1)</f>
        <v>45017</v>
      </c>
      <c r="D337" t="s">
        <v>33</v>
      </c>
      <c r="E337" t="s">
        <v>15</v>
      </c>
      <c r="F337" s="2">
        <v>6233.31</v>
      </c>
      <c r="G337">
        <v>19</v>
      </c>
      <c r="H337" t="s">
        <v>29</v>
      </c>
      <c r="I337" s="2">
        <v>2962.41</v>
      </c>
      <c r="J337" s="2">
        <v>3218.8999999999901</v>
      </c>
      <c r="K337" t="s">
        <v>30</v>
      </c>
      <c r="L337" s="5">
        <v>0.28999999999999998</v>
      </c>
      <c r="M337" t="s">
        <v>18</v>
      </c>
      <c r="N337" t="s">
        <v>22</v>
      </c>
      <c r="O337" t="s">
        <v>53</v>
      </c>
      <c r="P337" s="4">
        <f t="shared" si="10"/>
        <v>43422.960999999865</v>
      </c>
      <c r="Q337" s="4">
        <f t="shared" si="11"/>
        <v>-12862.829000000129</v>
      </c>
      <c r="R337" t="str">
        <f>IF( Table1[[#This Row],[Total Amount after sale]] &gt; 0,"PROFIT","LOSS")</f>
        <v>LOSS</v>
      </c>
      <c r="S337" s="3">
        <f>(Table1[[#This Row],[Total Amount after sale]]/Table1[[#This Row],[Price after discount]])</f>
        <v>-0.29622183065775198</v>
      </c>
    </row>
    <row r="338" spans="1:19" x14ac:dyDescent="0.3">
      <c r="A338">
        <v>1051</v>
      </c>
      <c r="B338" s="1">
        <v>45048</v>
      </c>
      <c r="C338" s="1">
        <f>DATE(YEAR(Table1[[#This Row],[Sale_Date]]), MONTH(Table1[[#This Row],[Sale_Date]]), 1)</f>
        <v>45047</v>
      </c>
      <c r="D338" t="s">
        <v>42</v>
      </c>
      <c r="E338" t="s">
        <v>15</v>
      </c>
      <c r="F338" s="2">
        <v>6833.11</v>
      </c>
      <c r="G338">
        <v>34</v>
      </c>
      <c r="H338" t="s">
        <v>16</v>
      </c>
      <c r="I338" s="2">
        <v>3764.14</v>
      </c>
      <c r="J338" s="2">
        <v>4100.3999999999996</v>
      </c>
      <c r="K338" t="s">
        <v>17</v>
      </c>
      <c r="L338" s="5">
        <v>0.05</v>
      </c>
      <c r="M338" t="s">
        <v>27</v>
      </c>
      <c r="N338" t="s">
        <v>22</v>
      </c>
      <c r="O338" t="s">
        <v>49</v>
      </c>
      <c r="P338" s="4">
        <f t="shared" si="10"/>
        <v>132442.91999999998</v>
      </c>
      <c r="Q338" s="4">
        <f t="shared" si="11"/>
        <v>4462.1599999999926</v>
      </c>
      <c r="R338" t="str">
        <f>IF( Table1[[#This Row],[Total Amount after sale]] &gt; 0,"PROFIT","LOSS")</f>
        <v>PROFIT</v>
      </c>
      <c r="S338" s="3">
        <f>(Table1[[#This Row],[Total Amount after sale]]/Table1[[#This Row],[Price after discount]])</f>
        <v>3.3691193157021855E-2</v>
      </c>
    </row>
    <row r="339" spans="1:19" x14ac:dyDescent="0.3">
      <c r="A339">
        <v>1096</v>
      </c>
      <c r="B339" s="1">
        <v>45048</v>
      </c>
      <c r="C339" s="1">
        <f>DATE(YEAR(Table1[[#This Row],[Sale_Date]]), MONTH(Table1[[#This Row],[Sale_Date]]), 1)</f>
        <v>45047</v>
      </c>
      <c r="D339" t="s">
        <v>42</v>
      </c>
      <c r="E339" t="s">
        <v>34</v>
      </c>
      <c r="F339" s="2">
        <v>4649.88</v>
      </c>
      <c r="G339">
        <v>32</v>
      </c>
      <c r="H339" t="s">
        <v>16</v>
      </c>
      <c r="I339" s="2">
        <v>991.63</v>
      </c>
      <c r="J339" s="2">
        <v>1065.55</v>
      </c>
      <c r="K339" t="s">
        <v>17</v>
      </c>
      <c r="L339" s="5">
        <v>0.22</v>
      </c>
      <c r="M339" t="s">
        <v>27</v>
      </c>
      <c r="N339" t="s">
        <v>22</v>
      </c>
      <c r="O339" t="s">
        <v>52</v>
      </c>
      <c r="P339" s="4">
        <f t="shared" si="10"/>
        <v>26596.128000000001</v>
      </c>
      <c r="Q339" s="4">
        <f t="shared" si="11"/>
        <v>-5136.0319999999992</v>
      </c>
      <c r="R339" t="str">
        <f>IF( Table1[[#This Row],[Total Amount after sale]] &gt; 0,"PROFIT","LOSS")</f>
        <v>LOSS</v>
      </c>
      <c r="S339" s="3">
        <f>(Table1[[#This Row],[Total Amount after sale]]/Table1[[#This Row],[Price after discount]])</f>
        <v>-0.19311201991507934</v>
      </c>
    </row>
    <row r="340" spans="1:19" x14ac:dyDescent="0.3">
      <c r="A340">
        <v>1036</v>
      </c>
      <c r="B340" s="1">
        <v>45048</v>
      </c>
      <c r="C340" s="1">
        <f>DATE(YEAR(Table1[[#This Row],[Sale_Date]]), MONTH(Table1[[#This Row],[Sale_Date]]), 1)</f>
        <v>45047</v>
      </c>
      <c r="D340" t="s">
        <v>24</v>
      </c>
      <c r="E340" t="s">
        <v>15</v>
      </c>
      <c r="F340" s="2">
        <v>6650.51</v>
      </c>
      <c r="G340">
        <v>42</v>
      </c>
      <c r="H340" t="s">
        <v>16</v>
      </c>
      <c r="I340" s="2">
        <v>4292.63</v>
      </c>
      <c r="J340" s="2">
        <v>4387.99</v>
      </c>
      <c r="K340" t="s">
        <v>30</v>
      </c>
      <c r="L340" s="5">
        <v>7.0000000000000007E-2</v>
      </c>
      <c r="M340" t="s">
        <v>31</v>
      </c>
      <c r="N340" t="s">
        <v>22</v>
      </c>
      <c r="O340" t="s">
        <v>45</v>
      </c>
      <c r="P340" s="4">
        <f t="shared" si="10"/>
        <v>171394.88939999999</v>
      </c>
      <c r="Q340" s="4">
        <f t="shared" si="11"/>
        <v>-8895.5706000000246</v>
      </c>
      <c r="R340" t="str">
        <f>IF( Table1[[#This Row],[Total Amount after sale]] &gt; 0,"PROFIT","LOSS")</f>
        <v>LOSS</v>
      </c>
      <c r="S340" s="3">
        <f>(Table1[[#This Row],[Total Amount after sale]]/Table1[[#This Row],[Price after discount]])</f>
        <v>-5.190102593572446E-2</v>
      </c>
    </row>
    <row r="341" spans="1:19" x14ac:dyDescent="0.3">
      <c r="A341">
        <v>1015</v>
      </c>
      <c r="B341" s="1">
        <v>45049</v>
      </c>
      <c r="C341" s="1">
        <f>DATE(YEAR(Table1[[#This Row],[Sale_Date]]), MONTH(Table1[[#This Row],[Sale_Date]]), 1)</f>
        <v>45047</v>
      </c>
      <c r="D341" t="s">
        <v>24</v>
      </c>
      <c r="E341" t="s">
        <v>25</v>
      </c>
      <c r="F341" s="2">
        <v>6699.34</v>
      </c>
      <c r="G341">
        <v>30</v>
      </c>
      <c r="H341" t="s">
        <v>26</v>
      </c>
      <c r="I341" s="2">
        <v>2680.22</v>
      </c>
      <c r="J341" s="2">
        <v>3027.9199999999901</v>
      </c>
      <c r="K341" t="s">
        <v>17</v>
      </c>
      <c r="L341" s="5">
        <v>0.25</v>
      </c>
      <c r="M341" t="s">
        <v>27</v>
      </c>
      <c r="N341" t="s">
        <v>19</v>
      </c>
      <c r="O341" t="s">
        <v>28</v>
      </c>
      <c r="P341" s="4">
        <f t="shared" si="10"/>
        <v>68128.199999999764</v>
      </c>
      <c r="Q341" s="4">
        <f t="shared" si="11"/>
        <v>-12278.400000000223</v>
      </c>
      <c r="R341" t="str">
        <f>IF( Table1[[#This Row],[Total Amount after sale]] &gt; 0,"PROFIT","LOSS")</f>
        <v>LOSS</v>
      </c>
      <c r="S341" s="3">
        <f>(Table1[[#This Row],[Total Amount after sale]]/Table1[[#This Row],[Price after discount]])</f>
        <v>-0.18022492888407834</v>
      </c>
    </row>
    <row r="342" spans="1:19" x14ac:dyDescent="0.3">
      <c r="A342">
        <v>1042</v>
      </c>
      <c r="B342" s="1">
        <v>45049</v>
      </c>
      <c r="C342" s="1">
        <f>DATE(YEAR(Table1[[#This Row],[Sale_Date]]), MONTH(Table1[[#This Row],[Sale_Date]]), 1)</f>
        <v>45047</v>
      </c>
      <c r="D342" t="s">
        <v>42</v>
      </c>
      <c r="E342" t="s">
        <v>21</v>
      </c>
      <c r="F342" s="2">
        <v>7116.78</v>
      </c>
      <c r="G342">
        <v>37</v>
      </c>
      <c r="H342" t="s">
        <v>16</v>
      </c>
      <c r="I342" s="2">
        <v>502.86</v>
      </c>
      <c r="J342" s="2">
        <v>687.6</v>
      </c>
      <c r="K342" t="s">
        <v>17</v>
      </c>
      <c r="L342" s="5">
        <v>0.21</v>
      </c>
      <c r="M342" t="s">
        <v>18</v>
      </c>
      <c r="N342" t="s">
        <v>19</v>
      </c>
      <c r="O342" t="s">
        <v>51</v>
      </c>
      <c r="P342" s="4">
        <f t="shared" si="10"/>
        <v>20098.548000000003</v>
      </c>
      <c r="Q342" s="4">
        <f t="shared" si="11"/>
        <v>1492.7280000000019</v>
      </c>
      <c r="R342" t="str">
        <f>IF( Table1[[#This Row],[Total Amount after sale]] &gt; 0,"PROFIT","LOSS")</f>
        <v>PROFIT</v>
      </c>
      <c r="S342" s="3">
        <f>(Table1[[#This Row],[Total Amount after sale]]/Table1[[#This Row],[Price after discount]])</f>
        <v>7.4270439834758298E-2</v>
      </c>
    </row>
    <row r="343" spans="1:19" x14ac:dyDescent="0.3">
      <c r="A343">
        <v>1061</v>
      </c>
      <c r="B343" s="1">
        <v>45049</v>
      </c>
      <c r="C343" s="1">
        <f>DATE(YEAR(Table1[[#This Row],[Sale_Date]]), MONTH(Table1[[#This Row],[Sale_Date]]), 1)</f>
        <v>45047</v>
      </c>
      <c r="D343" t="s">
        <v>14</v>
      </c>
      <c r="E343" t="s">
        <v>25</v>
      </c>
      <c r="F343" s="2">
        <v>7277.56</v>
      </c>
      <c r="G343">
        <v>41</v>
      </c>
      <c r="H343" t="s">
        <v>16</v>
      </c>
      <c r="I343" s="2">
        <v>2894.18</v>
      </c>
      <c r="J343" s="2">
        <v>3193.92</v>
      </c>
      <c r="K343" t="s">
        <v>30</v>
      </c>
      <c r="L343" s="5">
        <v>0.28000000000000003</v>
      </c>
      <c r="M343" t="s">
        <v>27</v>
      </c>
      <c r="N343" t="s">
        <v>22</v>
      </c>
      <c r="O343" t="s">
        <v>32</v>
      </c>
      <c r="P343" s="4">
        <f t="shared" si="10"/>
        <v>94284.518399999986</v>
      </c>
      <c r="Q343" s="4">
        <f t="shared" si="11"/>
        <v>-24376.861600000004</v>
      </c>
      <c r="R343" t="str">
        <f>IF( Table1[[#This Row],[Total Amount after sale]] &gt; 0,"PROFIT","LOSS")</f>
        <v>LOSS</v>
      </c>
      <c r="S343" s="3">
        <f>(Table1[[#This Row],[Total Amount after sale]]/Table1[[#This Row],[Price after discount]])</f>
        <v>-0.25854575081543829</v>
      </c>
    </row>
    <row r="344" spans="1:19" x14ac:dyDescent="0.3">
      <c r="A344">
        <v>1086</v>
      </c>
      <c r="B344" s="1">
        <v>45050</v>
      </c>
      <c r="C344" s="1">
        <f>DATE(YEAR(Table1[[#This Row],[Sale_Date]]), MONTH(Table1[[#This Row],[Sale_Date]]), 1)</f>
        <v>45047</v>
      </c>
      <c r="D344" t="s">
        <v>14</v>
      </c>
      <c r="E344" t="s">
        <v>21</v>
      </c>
      <c r="F344" s="2">
        <v>7841.4</v>
      </c>
      <c r="G344">
        <v>25</v>
      </c>
      <c r="H344" t="s">
        <v>26</v>
      </c>
      <c r="I344" s="2">
        <v>2248.71</v>
      </c>
      <c r="J344" s="2">
        <v>2626.02</v>
      </c>
      <c r="K344" t="s">
        <v>30</v>
      </c>
      <c r="L344" s="5">
        <v>0.08</v>
      </c>
      <c r="M344" t="s">
        <v>27</v>
      </c>
      <c r="N344" t="s">
        <v>19</v>
      </c>
      <c r="O344" t="s">
        <v>23</v>
      </c>
      <c r="P344" s="4">
        <f t="shared" si="10"/>
        <v>60398.46</v>
      </c>
      <c r="Q344" s="4">
        <f t="shared" si="11"/>
        <v>4180.7099999999991</v>
      </c>
      <c r="R344" t="str">
        <f>IF( Table1[[#This Row],[Total Amount after sale]] &gt; 0,"PROFIT","LOSS")</f>
        <v>PROFIT</v>
      </c>
      <c r="S344" s="3">
        <f>(Table1[[#This Row],[Total Amount after sale]]/Table1[[#This Row],[Price after discount]])</f>
        <v>6.9218817830785734E-2</v>
      </c>
    </row>
    <row r="345" spans="1:19" x14ac:dyDescent="0.3">
      <c r="A345">
        <v>1062</v>
      </c>
      <c r="B345" s="1">
        <v>45051</v>
      </c>
      <c r="C345" s="1">
        <f>DATE(YEAR(Table1[[#This Row],[Sale_Date]]), MONTH(Table1[[#This Row],[Sale_Date]]), 1)</f>
        <v>45047</v>
      </c>
      <c r="D345" t="s">
        <v>38</v>
      </c>
      <c r="E345" t="s">
        <v>25</v>
      </c>
      <c r="F345" s="2">
        <v>594.79</v>
      </c>
      <c r="G345">
        <v>26</v>
      </c>
      <c r="H345" t="s">
        <v>29</v>
      </c>
      <c r="I345" s="2">
        <v>992.17</v>
      </c>
      <c r="J345" s="2">
        <v>1263.49</v>
      </c>
      <c r="K345" t="s">
        <v>17</v>
      </c>
      <c r="L345" s="5">
        <v>0.25</v>
      </c>
      <c r="M345" t="s">
        <v>27</v>
      </c>
      <c r="N345" t="s">
        <v>22</v>
      </c>
      <c r="O345" t="s">
        <v>39</v>
      </c>
      <c r="P345" s="4">
        <f t="shared" si="10"/>
        <v>24638.055</v>
      </c>
      <c r="Q345" s="4">
        <f t="shared" si="11"/>
        <v>-1158.3649999999973</v>
      </c>
      <c r="R345" t="str">
        <f>IF( Table1[[#This Row],[Total Amount after sale]] &gt; 0,"PROFIT","LOSS")</f>
        <v>LOSS</v>
      </c>
      <c r="S345" s="3">
        <f>(Table1[[#This Row],[Total Amount after sale]]/Table1[[#This Row],[Price after discount]])</f>
        <v>-4.7015277788770148E-2</v>
      </c>
    </row>
    <row r="346" spans="1:19" x14ac:dyDescent="0.3">
      <c r="A346">
        <v>1056</v>
      </c>
      <c r="B346" s="1">
        <v>45053</v>
      </c>
      <c r="C346" s="1">
        <f>DATE(YEAR(Table1[[#This Row],[Sale_Date]]), MONTH(Table1[[#This Row],[Sale_Date]]), 1)</f>
        <v>45047</v>
      </c>
      <c r="D346" t="s">
        <v>24</v>
      </c>
      <c r="E346" t="s">
        <v>34</v>
      </c>
      <c r="F346" s="2">
        <v>7611.88</v>
      </c>
      <c r="G346">
        <v>28</v>
      </c>
      <c r="H346" t="s">
        <v>29</v>
      </c>
      <c r="I346" s="2">
        <v>1566.03</v>
      </c>
      <c r="J346" s="2">
        <v>1576.34</v>
      </c>
      <c r="K346" t="s">
        <v>17</v>
      </c>
      <c r="L346" s="5">
        <v>0.2</v>
      </c>
      <c r="M346" t="s">
        <v>27</v>
      </c>
      <c r="N346" t="s">
        <v>19</v>
      </c>
      <c r="O346" t="s">
        <v>50</v>
      </c>
      <c r="P346" s="4">
        <f t="shared" si="10"/>
        <v>35310.016000000003</v>
      </c>
      <c r="Q346" s="4">
        <f t="shared" si="11"/>
        <v>-8538.8239999999969</v>
      </c>
      <c r="R346" t="str">
        <f>IF( Table1[[#This Row],[Total Amount after sale]] &gt; 0,"PROFIT","LOSS")</f>
        <v>LOSS</v>
      </c>
      <c r="S346" s="3">
        <f>(Table1[[#This Row],[Total Amount after sale]]/Table1[[#This Row],[Price after discount]])</f>
        <v>-0.24182441605237437</v>
      </c>
    </row>
    <row r="347" spans="1:19" x14ac:dyDescent="0.3">
      <c r="A347">
        <v>1073</v>
      </c>
      <c r="B347" s="1">
        <v>45053</v>
      </c>
      <c r="C347" s="1">
        <f>DATE(YEAR(Table1[[#This Row],[Sale_Date]]), MONTH(Table1[[#This Row],[Sale_Date]]), 1)</f>
        <v>45047</v>
      </c>
      <c r="D347" t="s">
        <v>24</v>
      </c>
      <c r="E347" t="s">
        <v>15</v>
      </c>
      <c r="F347" s="2">
        <v>1347.42</v>
      </c>
      <c r="G347">
        <v>29</v>
      </c>
      <c r="H347" t="s">
        <v>29</v>
      </c>
      <c r="I347" s="2">
        <v>2152.6799999999998</v>
      </c>
      <c r="J347" s="2">
        <v>2475.9299999999998</v>
      </c>
      <c r="K347" t="s">
        <v>17</v>
      </c>
      <c r="L347" s="5">
        <v>0.22</v>
      </c>
      <c r="M347" t="s">
        <v>27</v>
      </c>
      <c r="N347" t="s">
        <v>19</v>
      </c>
      <c r="O347" t="s">
        <v>45</v>
      </c>
      <c r="P347" s="4">
        <f t="shared" si="10"/>
        <v>56005.536599999999</v>
      </c>
      <c r="Q347" s="4">
        <f t="shared" si="11"/>
        <v>-6422.1833999999944</v>
      </c>
      <c r="R347" t="str">
        <f>IF( Table1[[#This Row],[Total Amount after sale]] &gt; 0,"PROFIT","LOSS")</f>
        <v>LOSS</v>
      </c>
      <c r="S347" s="3">
        <f>(Table1[[#This Row],[Total Amount after sale]]/Table1[[#This Row],[Price after discount]])</f>
        <v>-0.11467050920104914</v>
      </c>
    </row>
    <row r="348" spans="1:19" x14ac:dyDescent="0.3">
      <c r="A348">
        <v>1093</v>
      </c>
      <c r="B348" s="1">
        <v>45054</v>
      </c>
      <c r="C348" s="1">
        <f>DATE(YEAR(Table1[[#This Row],[Sale_Date]]), MONTH(Table1[[#This Row],[Sale_Date]]), 1)</f>
        <v>45047</v>
      </c>
      <c r="D348" t="s">
        <v>14</v>
      </c>
      <c r="E348" t="s">
        <v>34</v>
      </c>
      <c r="F348" s="2">
        <v>5272.85</v>
      </c>
      <c r="G348">
        <v>17</v>
      </c>
      <c r="H348" t="s">
        <v>16</v>
      </c>
      <c r="I348" s="2">
        <v>727.38</v>
      </c>
      <c r="J348" s="2">
        <v>764.54</v>
      </c>
      <c r="K348" t="s">
        <v>17</v>
      </c>
      <c r="L348" s="5">
        <v>0.17</v>
      </c>
      <c r="M348" t="s">
        <v>31</v>
      </c>
      <c r="N348" t="s">
        <v>22</v>
      </c>
      <c r="O348" t="s">
        <v>46</v>
      </c>
      <c r="P348" s="4">
        <f t="shared" si="10"/>
        <v>10787.659399999999</v>
      </c>
      <c r="Q348" s="4">
        <f t="shared" si="11"/>
        <v>-1577.8006000000009</v>
      </c>
      <c r="R348" t="str">
        <f>IF( Table1[[#This Row],[Total Amount after sale]] &gt; 0,"PROFIT","LOSS")</f>
        <v>LOSS</v>
      </c>
      <c r="S348" s="3">
        <f>(Table1[[#This Row],[Total Amount after sale]]/Table1[[#This Row],[Price after discount]])</f>
        <v>-0.14625977160532164</v>
      </c>
    </row>
    <row r="349" spans="1:19" x14ac:dyDescent="0.3">
      <c r="A349">
        <v>1067</v>
      </c>
      <c r="B349" s="1">
        <v>45054</v>
      </c>
      <c r="C349" s="1">
        <f>DATE(YEAR(Table1[[#This Row],[Sale_Date]]), MONTH(Table1[[#This Row],[Sale_Date]]), 1)</f>
        <v>45047</v>
      </c>
      <c r="D349" t="s">
        <v>33</v>
      </c>
      <c r="E349" t="s">
        <v>15</v>
      </c>
      <c r="F349" s="2">
        <v>2850.74</v>
      </c>
      <c r="G349">
        <v>32</v>
      </c>
      <c r="H349" t="s">
        <v>26</v>
      </c>
      <c r="I349" s="2">
        <v>2171.79</v>
      </c>
      <c r="J349" s="2">
        <v>2307.64</v>
      </c>
      <c r="K349" t="s">
        <v>17</v>
      </c>
      <c r="L349" s="5">
        <v>0.22</v>
      </c>
      <c r="M349" t="s">
        <v>27</v>
      </c>
      <c r="N349" t="s">
        <v>19</v>
      </c>
      <c r="O349" t="s">
        <v>53</v>
      </c>
      <c r="P349" s="4">
        <f t="shared" si="10"/>
        <v>57598.6944</v>
      </c>
      <c r="Q349" s="4">
        <f t="shared" si="11"/>
        <v>-11898.585599999999</v>
      </c>
      <c r="R349" t="str">
        <f>IF( Table1[[#This Row],[Total Amount after sale]] &gt; 0,"PROFIT","LOSS")</f>
        <v>LOSS</v>
      </c>
      <c r="S349" s="3">
        <f>(Table1[[#This Row],[Total Amount after sale]]/Table1[[#This Row],[Price after discount]])</f>
        <v>-0.20657734908657926</v>
      </c>
    </row>
    <row r="350" spans="1:19" x14ac:dyDescent="0.3">
      <c r="A350">
        <v>1026</v>
      </c>
      <c r="B350" s="1">
        <v>45054</v>
      </c>
      <c r="C350" s="1">
        <f>DATE(YEAR(Table1[[#This Row],[Sale_Date]]), MONTH(Table1[[#This Row],[Sale_Date]]), 1)</f>
        <v>45047</v>
      </c>
      <c r="D350" t="s">
        <v>33</v>
      </c>
      <c r="E350" t="s">
        <v>21</v>
      </c>
      <c r="F350" s="2">
        <v>9519.09</v>
      </c>
      <c r="G350">
        <v>20</v>
      </c>
      <c r="H350" t="s">
        <v>29</v>
      </c>
      <c r="I350" s="2">
        <v>2985.63</v>
      </c>
      <c r="J350" s="2">
        <v>3452.14</v>
      </c>
      <c r="K350" t="s">
        <v>30</v>
      </c>
      <c r="L350" s="5">
        <v>0.17</v>
      </c>
      <c r="M350" t="s">
        <v>31</v>
      </c>
      <c r="N350" t="s">
        <v>22</v>
      </c>
      <c r="O350" t="s">
        <v>37</v>
      </c>
      <c r="P350" s="4">
        <f t="shared" si="10"/>
        <v>57305.523999999998</v>
      </c>
      <c r="Q350" s="4">
        <f t="shared" si="11"/>
        <v>-2407.0760000000064</v>
      </c>
      <c r="R350" t="str">
        <f>IF( Table1[[#This Row],[Total Amount after sale]] &gt; 0,"PROFIT","LOSS")</f>
        <v>LOSS</v>
      </c>
      <c r="S350" s="3">
        <f>(Table1[[#This Row],[Total Amount after sale]]/Table1[[#This Row],[Price after discount]])</f>
        <v>-4.2004257739620465E-2</v>
      </c>
    </row>
    <row r="351" spans="1:19" x14ac:dyDescent="0.3">
      <c r="A351">
        <v>1012</v>
      </c>
      <c r="B351" s="1">
        <v>45055</v>
      </c>
      <c r="C351" s="1">
        <f>DATE(YEAR(Table1[[#This Row],[Sale_Date]]), MONTH(Table1[[#This Row],[Sale_Date]]), 1)</f>
        <v>45047</v>
      </c>
      <c r="D351" t="s">
        <v>24</v>
      </c>
      <c r="E351" t="s">
        <v>21</v>
      </c>
      <c r="F351" s="2">
        <v>8070.39</v>
      </c>
      <c r="G351">
        <v>13</v>
      </c>
      <c r="H351" t="s">
        <v>26</v>
      </c>
      <c r="I351" s="2">
        <v>1311.01</v>
      </c>
      <c r="J351" s="2">
        <v>1538.79</v>
      </c>
      <c r="K351" t="s">
        <v>17</v>
      </c>
      <c r="L351" s="5">
        <v>0.09</v>
      </c>
      <c r="M351" t="s">
        <v>27</v>
      </c>
      <c r="N351" t="s">
        <v>22</v>
      </c>
      <c r="O351" t="s">
        <v>47</v>
      </c>
      <c r="P351" s="4">
        <f t="shared" si="10"/>
        <v>18203.885699999999</v>
      </c>
      <c r="Q351" s="4">
        <f t="shared" si="11"/>
        <v>1160.7557000000002</v>
      </c>
      <c r="R351" t="str">
        <f>IF( Table1[[#This Row],[Total Amount after sale]] &gt; 0,"PROFIT","LOSS")</f>
        <v>PROFIT</v>
      </c>
      <c r="S351" s="3">
        <f>(Table1[[#This Row],[Total Amount after sale]]/Table1[[#This Row],[Price after discount]])</f>
        <v>6.3764172063550159E-2</v>
      </c>
    </row>
    <row r="352" spans="1:19" x14ac:dyDescent="0.3">
      <c r="A352">
        <v>1034</v>
      </c>
      <c r="B352" s="1">
        <v>45056</v>
      </c>
      <c r="C352" s="1">
        <f>DATE(YEAR(Table1[[#This Row],[Sale_Date]]), MONTH(Table1[[#This Row],[Sale_Date]]), 1)</f>
        <v>45047</v>
      </c>
      <c r="D352" t="s">
        <v>38</v>
      </c>
      <c r="E352" t="s">
        <v>34</v>
      </c>
      <c r="F352" s="2">
        <v>4892.3599999999997</v>
      </c>
      <c r="G352">
        <v>19</v>
      </c>
      <c r="H352" t="s">
        <v>29</v>
      </c>
      <c r="I352" s="2">
        <v>1922.21</v>
      </c>
      <c r="J352" s="2">
        <v>2180.83</v>
      </c>
      <c r="K352" t="s">
        <v>17</v>
      </c>
      <c r="L352" s="5">
        <v>0.17</v>
      </c>
      <c r="M352" t="s">
        <v>31</v>
      </c>
      <c r="N352" t="s">
        <v>22</v>
      </c>
      <c r="O352" t="s">
        <v>48</v>
      </c>
      <c r="P352" s="4">
        <f t="shared" si="10"/>
        <v>34391.689099999996</v>
      </c>
      <c r="Q352" s="4">
        <f t="shared" si="11"/>
        <v>-2130.3009000000056</v>
      </c>
      <c r="R352" t="str">
        <f>IF( Table1[[#This Row],[Total Amount after sale]] &gt; 0,"PROFIT","LOSS")</f>
        <v>LOSS</v>
      </c>
      <c r="S352" s="3">
        <f>(Table1[[#This Row],[Total Amount after sale]]/Table1[[#This Row],[Price after discount]])</f>
        <v>-6.1942316755823602E-2</v>
      </c>
    </row>
    <row r="353" spans="1:19" x14ac:dyDescent="0.3">
      <c r="A353">
        <v>1030</v>
      </c>
      <c r="B353" s="1">
        <v>45056</v>
      </c>
      <c r="C353" s="1">
        <f>DATE(YEAR(Table1[[#This Row],[Sale_Date]]), MONTH(Table1[[#This Row],[Sale_Date]]), 1)</f>
        <v>45047</v>
      </c>
      <c r="D353" t="s">
        <v>14</v>
      </c>
      <c r="E353" t="s">
        <v>25</v>
      </c>
      <c r="F353" s="2">
        <v>1273.18</v>
      </c>
      <c r="G353">
        <v>43</v>
      </c>
      <c r="H353" t="s">
        <v>29</v>
      </c>
      <c r="I353" s="2">
        <v>4696.6400000000003</v>
      </c>
      <c r="J353" s="2">
        <v>4713.68</v>
      </c>
      <c r="K353" t="s">
        <v>17</v>
      </c>
      <c r="L353" s="5">
        <v>0.24</v>
      </c>
      <c r="M353" t="s">
        <v>27</v>
      </c>
      <c r="N353" t="s">
        <v>19</v>
      </c>
      <c r="O353" t="s">
        <v>32</v>
      </c>
      <c r="P353" s="4">
        <f t="shared" si="10"/>
        <v>154043.06240000002</v>
      </c>
      <c r="Q353" s="4">
        <f t="shared" si="11"/>
        <v>-47912.457599999994</v>
      </c>
      <c r="R353" t="str">
        <f>IF( Table1[[#This Row],[Total Amount after sale]] &gt; 0,"PROFIT","LOSS")</f>
        <v>LOSS</v>
      </c>
      <c r="S353" s="3">
        <f>(Table1[[#This Row],[Total Amount after sale]]/Table1[[#This Row],[Price after discount]])</f>
        <v>-0.31103288167296256</v>
      </c>
    </row>
    <row r="354" spans="1:19" x14ac:dyDescent="0.3">
      <c r="A354">
        <v>1063</v>
      </c>
      <c r="B354" s="1">
        <v>45056</v>
      </c>
      <c r="C354" s="1">
        <f>DATE(YEAR(Table1[[#This Row],[Sale_Date]]), MONTH(Table1[[#This Row],[Sale_Date]]), 1)</f>
        <v>45047</v>
      </c>
      <c r="D354" t="s">
        <v>24</v>
      </c>
      <c r="E354" t="s">
        <v>34</v>
      </c>
      <c r="F354" s="2">
        <v>5870.97</v>
      </c>
      <c r="G354">
        <v>47</v>
      </c>
      <c r="H354" t="s">
        <v>35</v>
      </c>
      <c r="I354" s="2">
        <v>4291.33</v>
      </c>
      <c r="J354" s="2">
        <v>4658.6400000000003</v>
      </c>
      <c r="K354" t="s">
        <v>30</v>
      </c>
      <c r="L354" s="5">
        <v>0.24</v>
      </c>
      <c r="M354" t="s">
        <v>31</v>
      </c>
      <c r="N354" t="s">
        <v>22</v>
      </c>
      <c r="O354" t="s">
        <v>50</v>
      </c>
      <c r="P354" s="4">
        <f t="shared" si="10"/>
        <v>166406.6208</v>
      </c>
      <c r="Q354" s="4">
        <f t="shared" si="11"/>
        <v>-35285.889199999991</v>
      </c>
      <c r="R354" t="str">
        <f>IF( Table1[[#This Row],[Total Amount after sale]] &gt; 0,"PROFIT","LOSS")</f>
        <v>LOSS</v>
      </c>
      <c r="S354" s="3">
        <f>(Table1[[#This Row],[Total Amount after sale]]/Table1[[#This Row],[Price after discount]])</f>
        <v>-0.21204618560465346</v>
      </c>
    </row>
    <row r="355" spans="1:19" x14ac:dyDescent="0.3">
      <c r="A355">
        <v>1001</v>
      </c>
      <c r="B355" s="1">
        <v>45056</v>
      </c>
      <c r="C355" s="1">
        <f>DATE(YEAR(Table1[[#This Row],[Sale_Date]]), MONTH(Table1[[#This Row],[Sale_Date]]), 1)</f>
        <v>45047</v>
      </c>
      <c r="D355" t="s">
        <v>24</v>
      </c>
      <c r="E355" t="s">
        <v>34</v>
      </c>
      <c r="F355" s="2">
        <v>3793.91</v>
      </c>
      <c r="G355">
        <v>47</v>
      </c>
      <c r="H355" t="s">
        <v>26</v>
      </c>
      <c r="I355" s="2">
        <v>4865.33</v>
      </c>
      <c r="J355" s="2">
        <v>5316.13</v>
      </c>
      <c r="K355" t="s">
        <v>30</v>
      </c>
      <c r="L355" s="5">
        <v>0.06</v>
      </c>
      <c r="M355" t="s">
        <v>27</v>
      </c>
      <c r="N355" t="s">
        <v>19</v>
      </c>
      <c r="O355" t="s">
        <v>50</v>
      </c>
      <c r="P355" s="4">
        <f t="shared" si="10"/>
        <v>234866.62339999998</v>
      </c>
      <c r="Q355" s="4">
        <f t="shared" si="11"/>
        <v>6196.113399999992</v>
      </c>
      <c r="R355" t="str">
        <f>IF( Table1[[#This Row],[Total Amount after sale]] &gt; 0,"PROFIT","LOSS")</f>
        <v>PROFIT</v>
      </c>
      <c r="S355" s="3">
        <f>(Table1[[#This Row],[Total Amount after sale]]/Table1[[#This Row],[Price after discount]])</f>
        <v>2.6381413034781989E-2</v>
      </c>
    </row>
    <row r="356" spans="1:19" x14ac:dyDescent="0.3">
      <c r="A356">
        <v>1099</v>
      </c>
      <c r="B356" s="1">
        <v>45057</v>
      </c>
      <c r="C356" s="1">
        <f>DATE(YEAR(Table1[[#This Row],[Sale_Date]]), MONTH(Table1[[#This Row],[Sale_Date]]), 1)</f>
        <v>45047</v>
      </c>
      <c r="D356" t="s">
        <v>42</v>
      </c>
      <c r="E356" t="s">
        <v>25</v>
      </c>
      <c r="F356" s="2">
        <v>3518.89</v>
      </c>
      <c r="G356">
        <v>48</v>
      </c>
      <c r="H356" t="s">
        <v>26</v>
      </c>
      <c r="I356" s="2">
        <v>3441.61</v>
      </c>
      <c r="J356" s="2">
        <v>3693.45</v>
      </c>
      <c r="K356" t="s">
        <v>17</v>
      </c>
      <c r="L356" s="5">
        <v>0.19</v>
      </c>
      <c r="M356" t="s">
        <v>27</v>
      </c>
      <c r="N356" t="s">
        <v>19</v>
      </c>
      <c r="O356" t="s">
        <v>43</v>
      </c>
      <c r="P356" s="4">
        <f t="shared" si="10"/>
        <v>143601.33600000001</v>
      </c>
      <c r="Q356" s="4">
        <f t="shared" si="11"/>
        <v>-21595.944000000003</v>
      </c>
      <c r="R356" t="str">
        <f>IF( Table1[[#This Row],[Total Amount after sale]] &gt; 0,"PROFIT","LOSS")</f>
        <v>LOSS</v>
      </c>
      <c r="S356" s="3">
        <f>(Table1[[#This Row],[Total Amount after sale]]/Table1[[#This Row],[Price after discount]])</f>
        <v>-0.15038818301801873</v>
      </c>
    </row>
    <row r="357" spans="1:19" x14ac:dyDescent="0.3">
      <c r="A357">
        <v>1001</v>
      </c>
      <c r="B357" s="1">
        <v>45057</v>
      </c>
      <c r="C357" s="1">
        <f>DATE(YEAR(Table1[[#This Row],[Sale_Date]]), MONTH(Table1[[#This Row],[Sale_Date]]), 1)</f>
        <v>45047</v>
      </c>
      <c r="D357" t="s">
        <v>38</v>
      </c>
      <c r="E357" t="s">
        <v>34</v>
      </c>
      <c r="F357" s="2">
        <v>5262.35</v>
      </c>
      <c r="G357">
        <v>8</v>
      </c>
      <c r="H357" t="s">
        <v>29</v>
      </c>
      <c r="I357" s="2">
        <v>442.11</v>
      </c>
      <c r="J357" s="2">
        <v>803.87</v>
      </c>
      <c r="K357" t="s">
        <v>30</v>
      </c>
      <c r="L357" s="5">
        <v>0.18</v>
      </c>
      <c r="M357" t="s">
        <v>18</v>
      </c>
      <c r="N357" t="s">
        <v>22</v>
      </c>
      <c r="O357" t="s">
        <v>48</v>
      </c>
      <c r="P357" s="4">
        <f t="shared" si="10"/>
        <v>5273.3872000000001</v>
      </c>
      <c r="Q357" s="4">
        <f t="shared" si="11"/>
        <v>1736.5072</v>
      </c>
      <c r="R357" t="str">
        <f>IF( Table1[[#This Row],[Total Amount after sale]] &gt; 0,"PROFIT","LOSS")</f>
        <v>PROFIT</v>
      </c>
      <c r="S357" s="3">
        <f>(Table1[[#This Row],[Total Amount after sale]]/Table1[[#This Row],[Price after discount]])</f>
        <v>0.32929635813581071</v>
      </c>
    </row>
    <row r="358" spans="1:19" x14ac:dyDescent="0.3">
      <c r="A358">
        <v>1051</v>
      </c>
      <c r="B358" s="1">
        <v>45057</v>
      </c>
      <c r="C358" s="1">
        <f>DATE(YEAR(Table1[[#This Row],[Sale_Date]]), MONTH(Table1[[#This Row],[Sale_Date]]), 1)</f>
        <v>45047</v>
      </c>
      <c r="D358" t="s">
        <v>14</v>
      </c>
      <c r="E358" t="s">
        <v>15</v>
      </c>
      <c r="F358" s="2">
        <v>5578.37</v>
      </c>
      <c r="G358">
        <v>36</v>
      </c>
      <c r="H358" t="s">
        <v>26</v>
      </c>
      <c r="I358" s="2">
        <v>4418.95</v>
      </c>
      <c r="J358" s="2">
        <v>4647.87</v>
      </c>
      <c r="K358" t="s">
        <v>30</v>
      </c>
      <c r="L358" s="5">
        <v>0.04</v>
      </c>
      <c r="M358" t="s">
        <v>27</v>
      </c>
      <c r="N358" t="s">
        <v>19</v>
      </c>
      <c r="O358" t="s">
        <v>20</v>
      </c>
      <c r="P358" s="4">
        <f t="shared" si="10"/>
        <v>160630.38719999997</v>
      </c>
      <c r="Q358" s="4">
        <f t="shared" si="11"/>
        <v>1548.1871999999858</v>
      </c>
      <c r="R358" t="str">
        <f>IF( Table1[[#This Row],[Total Amount after sale]] &gt; 0,"PROFIT","LOSS")</f>
        <v>PROFIT</v>
      </c>
      <c r="S358" s="3">
        <f>(Table1[[#This Row],[Total Amount after sale]]/Table1[[#This Row],[Price after discount]])</f>
        <v>9.6381962777213927E-3</v>
      </c>
    </row>
    <row r="359" spans="1:19" x14ac:dyDescent="0.3">
      <c r="A359">
        <v>1003</v>
      </c>
      <c r="B359" s="1">
        <v>45057</v>
      </c>
      <c r="C359" s="1">
        <f>DATE(YEAR(Table1[[#This Row],[Sale_Date]]), MONTH(Table1[[#This Row],[Sale_Date]]), 1)</f>
        <v>45047</v>
      </c>
      <c r="D359" t="s">
        <v>33</v>
      </c>
      <c r="E359" t="s">
        <v>15</v>
      </c>
      <c r="F359" s="2">
        <v>6760.37</v>
      </c>
      <c r="G359">
        <v>26</v>
      </c>
      <c r="H359" t="s">
        <v>35</v>
      </c>
      <c r="I359" s="2">
        <v>3418.78</v>
      </c>
      <c r="J359" s="2">
        <v>3824.1</v>
      </c>
      <c r="K359" t="s">
        <v>30</v>
      </c>
      <c r="L359" s="5">
        <v>0.19</v>
      </c>
      <c r="M359" t="s">
        <v>31</v>
      </c>
      <c r="N359" t="s">
        <v>19</v>
      </c>
      <c r="O359" t="s">
        <v>53</v>
      </c>
      <c r="P359" s="4">
        <f t="shared" si="10"/>
        <v>80535.546000000002</v>
      </c>
      <c r="Q359" s="4">
        <f t="shared" si="11"/>
        <v>-8352.7340000000004</v>
      </c>
      <c r="R359" t="str">
        <f>IF( Table1[[#This Row],[Total Amount after sale]] &gt; 0,"PROFIT","LOSS")</f>
        <v>LOSS</v>
      </c>
      <c r="S359" s="3">
        <f>(Table1[[#This Row],[Total Amount after sale]]/Table1[[#This Row],[Price after discount]])</f>
        <v>-0.10371487392660131</v>
      </c>
    </row>
    <row r="360" spans="1:19" x14ac:dyDescent="0.3">
      <c r="A360">
        <v>1033</v>
      </c>
      <c r="B360" s="1">
        <v>45058</v>
      </c>
      <c r="C360" s="1">
        <f>DATE(YEAR(Table1[[#This Row],[Sale_Date]]), MONTH(Table1[[#This Row],[Sale_Date]]), 1)</f>
        <v>45047</v>
      </c>
      <c r="D360" t="s">
        <v>14</v>
      </c>
      <c r="E360" t="s">
        <v>15</v>
      </c>
      <c r="F360" s="2">
        <v>5055.9799999999996</v>
      </c>
      <c r="G360">
        <v>16</v>
      </c>
      <c r="H360" t="s">
        <v>16</v>
      </c>
      <c r="I360" s="2">
        <v>2915.88</v>
      </c>
      <c r="J360" s="2">
        <v>3397.36</v>
      </c>
      <c r="K360" t="s">
        <v>30</v>
      </c>
      <c r="L360" s="5">
        <v>0.2</v>
      </c>
      <c r="M360" t="s">
        <v>27</v>
      </c>
      <c r="N360" t="s">
        <v>22</v>
      </c>
      <c r="O360" t="s">
        <v>20</v>
      </c>
      <c r="P360" s="4">
        <f t="shared" si="10"/>
        <v>43486.208000000006</v>
      </c>
      <c r="Q360" s="4">
        <f t="shared" si="11"/>
        <v>-3167.8719999999958</v>
      </c>
      <c r="R360" t="str">
        <f>IF( Table1[[#This Row],[Total Amount after sale]] &gt; 0,"PROFIT","LOSS")</f>
        <v>LOSS</v>
      </c>
      <c r="S360" s="3">
        <f>(Table1[[#This Row],[Total Amount after sale]]/Table1[[#This Row],[Price after discount]])</f>
        <v>-7.2847740598582317E-2</v>
      </c>
    </row>
    <row r="361" spans="1:19" x14ac:dyDescent="0.3">
      <c r="A361">
        <v>1038</v>
      </c>
      <c r="B361" s="1">
        <v>45058</v>
      </c>
      <c r="C361" s="1">
        <f>DATE(YEAR(Table1[[#This Row],[Sale_Date]]), MONTH(Table1[[#This Row],[Sale_Date]]), 1)</f>
        <v>45047</v>
      </c>
      <c r="D361" t="s">
        <v>14</v>
      </c>
      <c r="E361" t="s">
        <v>25</v>
      </c>
      <c r="F361" s="2">
        <v>8630.74</v>
      </c>
      <c r="G361">
        <v>20</v>
      </c>
      <c r="H361" t="s">
        <v>29</v>
      </c>
      <c r="I361" s="2">
        <v>2607.31</v>
      </c>
      <c r="J361" s="2">
        <v>2774.86</v>
      </c>
      <c r="K361" t="s">
        <v>30</v>
      </c>
      <c r="L361" s="5">
        <v>0.27</v>
      </c>
      <c r="M361" t="s">
        <v>31</v>
      </c>
      <c r="N361" t="s">
        <v>22</v>
      </c>
      <c r="O361" t="s">
        <v>32</v>
      </c>
      <c r="P361" s="4">
        <f t="shared" si="10"/>
        <v>40512.955999999998</v>
      </c>
      <c r="Q361" s="4">
        <f t="shared" si="11"/>
        <v>-11633.243999999999</v>
      </c>
      <c r="R361" t="str">
        <f>IF( Table1[[#This Row],[Total Amount after sale]] &gt; 0,"PROFIT","LOSS")</f>
        <v>LOSS</v>
      </c>
      <c r="S361" s="3">
        <f>(Table1[[#This Row],[Total Amount after sale]]/Table1[[#This Row],[Price after discount]])</f>
        <v>-0.28714873335828667</v>
      </c>
    </row>
    <row r="362" spans="1:19" x14ac:dyDescent="0.3">
      <c r="A362">
        <v>1060</v>
      </c>
      <c r="B362" s="1">
        <v>45059</v>
      </c>
      <c r="C362" s="1">
        <f>DATE(YEAR(Table1[[#This Row],[Sale_Date]]), MONTH(Table1[[#This Row],[Sale_Date]]), 1)</f>
        <v>45047</v>
      </c>
      <c r="D362" t="s">
        <v>33</v>
      </c>
      <c r="E362" t="s">
        <v>21</v>
      </c>
      <c r="F362" s="2">
        <v>5260.83</v>
      </c>
      <c r="G362">
        <v>31</v>
      </c>
      <c r="H362" t="s">
        <v>35</v>
      </c>
      <c r="I362" s="2">
        <v>3161.4</v>
      </c>
      <c r="J362" s="2">
        <v>3339.66</v>
      </c>
      <c r="K362" t="s">
        <v>17</v>
      </c>
      <c r="L362" s="5">
        <v>0.02</v>
      </c>
      <c r="M362" t="s">
        <v>27</v>
      </c>
      <c r="N362" t="s">
        <v>19</v>
      </c>
      <c r="O362" t="s">
        <v>37</v>
      </c>
      <c r="P362" s="4">
        <f t="shared" si="10"/>
        <v>101458.87079999999</v>
      </c>
      <c r="Q362" s="4">
        <f t="shared" si="11"/>
        <v>3455.4707999999905</v>
      </c>
      <c r="R362" t="str">
        <f>IF( Table1[[#This Row],[Total Amount after sale]] &gt; 0,"PROFIT","LOSS")</f>
        <v>PROFIT</v>
      </c>
      <c r="S362" s="3">
        <f>(Table1[[#This Row],[Total Amount after sale]]/Table1[[#This Row],[Price after discount]])</f>
        <v>3.405784800041349E-2</v>
      </c>
    </row>
    <row r="363" spans="1:19" x14ac:dyDescent="0.3">
      <c r="A363">
        <v>1039</v>
      </c>
      <c r="B363" s="1">
        <v>45059</v>
      </c>
      <c r="C363" s="1">
        <f>DATE(YEAR(Table1[[#This Row],[Sale_Date]]), MONTH(Table1[[#This Row],[Sale_Date]]), 1)</f>
        <v>45047</v>
      </c>
      <c r="D363" t="s">
        <v>38</v>
      </c>
      <c r="E363" t="s">
        <v>21</v>
      </c>
      <c r="F363" s="2">
        <v>4422.4799999999996</v>
      </c>
      <c r="G363">
        <v>40</v>
      </c>
      <c r="H363" t="s">
        <v>16</v>
      </c>
      <c r="I363" s="2">
        <v>3536.46</v>
      </c>
      <c r="J363" s="2">
        <v>3945.82</v>
      </c>
      <c r="K363" t="s">
        <v>30</v>
      </c>
      <c r="L363" s="5">
        <v>0.24</v>
      </c>
      <c r="M363" t="s">
        <v>27</v>
      </c>
      <c r="N363" t="s">
        <v>19</v>
      </c>
      <c r="O363" t="s">
        <v>41</v>
      </c>
      <c r="P363" s="4">
        <f t="shared" si="10"/>
        <v>119952.92800000001</v>
      </c>
      <c r="Q363" s="4">
        <f t="shared" si="11"/>
        <v>-21505.471999999991</v>
      </c>
      <c r="R363" t="str">
        <f>IF( Table1[[#This Row],[Total Amount after sale]] &gt; 0,"PROFIT","LOSS")</f>
        <v>LOSS</v>
      </c>
      <c r="S363" s="3">
        <f>(Table1[[#This Row],[Total Amount after sale]]/Table1[[#This Row],[Price after discount]])</f>
        <v>-0.17928259325191284</v>
      </c>
    </row>
    <row r="364" spans="1:19" x14ac:dyDescent="0.3">
      <c r="A364">
        <v>1075</v>
      </c>
      <c r="B364" s="1">
        <v>45059</v>
      </c>
      <c r="C364" s="1">
        <f>DATE(YEAR(Table1[[#This Row],[Sale_Date]]), MONTH(Table1[[#This Row],[Sale_Date]]), 1)</f>
        <v>45047</v>
      </c>
      <c r="D364" t="s">
        <v>14</v>
      </c>
      <c r="E364" t="s">
        <v>34</v>
      </c>
      <c r="F364" s="2">
        <v>6653.49</v>
      </c>
      <c r="G364">
        <v>36</v>
      </c>
      <c r="H364" t="s">
        <v>29</v>
      </c>
      <c r="I364" s="2">
        <v>4337.6099999999997</v>
      </c>
      <c r="J364" s="2">
        <v>4386.82</v>
      </c>
      <c r="K364" t="s">
        <v>17</v>
      </c>
      <c r="L364" s="5">
        <v>0.23</v>
      </c>
      <c r="M364" t="s">
        <v>31</v>
      </c>
      <c r="N364" t="s">
        <v>19</v>
      </c>
      <c r="O364" t="s">
        <v>46</v>
      </c>
      <c r="P364" s="4">
        <f t="shared" si="10"/>
        <v>121602.6504</v>
      </c>
      <c r="Q364" s="4">
        <f t="shared" si="11"/>
        <v>-34551.309599999986</v>
      </c>
      <c r="R364" t="str">
        <f>IF( Table1[[#This Row],[Total Amount after sale]] &gt; 0,"PROFIT","LOSS")</f>
        <v>LOSS</v>
      </c>
      <c r="S364" s="3">
        <f>(Table1[[#This Row],[Total Amount after sale]]/Table1[[#This Row],[Price after discount]])</f>
        <v>-0.2841328662356194</v>
      </c>
    </row>
    <row r="365" spans="1:19" x14ac:dyDescent="0.3">
      <c r="A365">
        <v>1064</v>
      </c>
      <c r="B365" s="1">
        <v>45060</v>
      </c>
      <c r="C365" s="1">
        <f>DATE(YEAR(Table1[[#This Row],[Sale_Date]]), MONTH(Table1[[#This Row],[Sale_Date]]), 1)</f>
        <v>45047</v>
      </c>
      <c r="D365" t="s">
        <v>14</v>
      </c>
      <c r="E365" t="s">
        <v>25</v>
      </c>
      <c r="F365" s="2">
        <v>5356.28</v>
      </c>
      <c r="G365">
        <v>8</v>
      </c>
      <c r="H365" t="s">
        <v>35</v>
      </c>
      <c r="I365" s="2">
        <v>4271.99</v>
      </c>
      <c r="J365" s="2">
        <v>4417.79</v>
      </c>
      <c r="K365" t="s">
        <v>17</v>
      </c>
      <c r="L365" s="5">
        <v>0.04</v>
      </c>
      <c r="M365" t="s">
        <v>18</v>
      </c>
      <c r="N365" t="s">
        <v>19</v>
      </c>
      <c r="O365" t="s">
        <v>32</v>
      </c>
      <c r="P365" s="4">
        <f t="shared" si="10"/>
        <v>33928.627199999995</v>
      </c>
      <c r="Q365" s="4">
        <f t="shared" si="11"/>
        <v>-247.2928000000029</v>
      </c>
      <c r="R365" t="str">
        <f>IF( Table1[[#This Row],[Total Amount after sale]] &gt; 0,"PROFIT","LOSS")</f>
        <v>LOSS</v>
      </c>
      <c r="S365" s="3">
        <f>(Table1[[#This Row],[Total Amount after sale]]/Table1[[#This Row],[Price after discount]])</f>
        <v>-7.2886179137835244E-3</v>
      </c>
    </row>
    <row r="366" spans="1:19" x14ac:dyDescent="0.3">
      <c r="A366">
        <v>1001</v>
      </c>
      <c r="B366" s="1">
        <v>45060</v>
      </c>
      <c r="C366" s="1">
        <f>DATE(YEAR(Table1[[#This Row],[Sale_Date]]), MONTH(Table1[[#This Row],[Sale_Date]]), 1)</f>
        <v>45047</v>
      </c>
      <c r="D366" t="s">
        <v>38</v>
      </c>
      <c r="E366" t="s">
        <v>25</v>
      </c>
      <c r="F366" s="2">
        <v>2669.46</v>
      </c>
      <c r="G366">
        <v>35</v>
      </c>
      <c r="H366" t="s">
        <v>35</v>
      </c>
      <c r="I366" s="2">
        <v>2745.75</v>
      </c>
      <c r="J366" s="2">
        <v>3244.76</v>
      </c>
      <c r="K366" t="s">
        <v>30</v>
      </c>
      <c r="L366" s="5">
        <v>0.05</v>
      </c>
      <c r="M366" t="s">
        <v>27</v>
      </c>
      <c r="N366" t="s">
        <v>19</v>
      </c>
      <c r="O366" t="s">
        <v>39</v>
      </c>
      <c r="P366" s="4">
        <f t="shared" si="10"/>
        <v>107888.27</v>
      </c>
      <c r="Q366" s="4">
        <f t="shared" si="11"/>
        <v>11787.019999999997</v>
      </c>
      <c r="R366" t="str">
        <f>IF( Table1[[#This Row],[Total Amount after sale]] &gt; 0,"PROFIT","LOSS")</f>
        <v>PROFIT</v>
      </c>
      <c r="S366" s="3">
        <f>(Table1[[#This Row],[Total Amount after sale]]/Table1[[#This Row],[Price after discount]])</f>
        <v>0.10925209941729529</v>
      </c>
    </row>
    <row r="367" spans="1:19" x14ac:dyDescent="0.3">
      <c r="A367">
        <v>1009</v>
      </c>
      <c r="B367" s="1">
        <v>45060</v>
      </c>
      <c r="C367" s="1">
        <f>DATE(YEAR(Table1[[#This Row],[Sale_Date]]), MONTH(Table1[[#This Row],[Sale_Date]]), 1)</f>
        <v>45047</v>
      </c>
      <c r="D367" t="s">
        <v>24</v>
      </c>
      <c r="E367" t="s">
        <v>21</v>
      </c>
      <c r="F367" s="2">
        <v>2584.91</v>
      </c>
      <c r="G367">
        <v>40</v>
      </c>
      <c r="H367" t="s">
        <v>16</v>
      </c>
      <c r="I367" s="2">
        <v>2799.71</v>
      </c>
      <c r="J367" s="2">
        <v>3231.08</v>
      </c>
      <c r="K367" t="s">
        <v>17</v>
      </c>
      <c r="L367" s="5">
        <v>0.28999999999999998</v>
      </c>
      <c r="M367" t="s">
        <v>31</v>
      </c>
      <c r="N367" t="s">
        <v>22</v>
      </c>
      <c r="O367" t="s">
        <v>47</v>
      </c>
      <c r="P367" s="4">
        <f t="shared" si="10"/>
        <v>91762.672000000006</v>
      </c>
      <c r="Q367" s="4">
        <f t="shared" si="11"/>
        <v>-20225.727999999999</v>
      </c>
      <c r="R367" t="str">
        <f>IF( Table1[[#This Row],[Total Amount after sale]] &gt; 0,"PROFIT","LOSS")</f>
        <v>LOSS</v>
      </c>
      <c r="S367" s="3">
        <f>(Table1[[#This Row],[Total Amount after sale]]/Table1[[#This Row],[Price after discount]])</f>
        <v>-0.22041345962549999</v>
      </c>
    </row>
    <row r="368" spans="1:19" x14ac:dyDescent="0.3">
      <c r="A368">
        <v>1087</v>
      </c>
      <c r="B368" s="1">
        <v>45060</v>
      </c>
      <c r="C368" s="1">
        <f>DATE(YEAR(Table1[[#This Row],[Sale_Date]]), MONTH(Table1[[#This Row],[Sale_Date]]), 1)</f>
        <v>45047</v>
      </c>
      <c r="D368" t="s">
        <v>33</v>
      </c>
      <c r="E368" t="s">
        <v>21</v>
      </c>
      <c r="F368" s="2">
        <v>9472.66</v>
      </c>
      <c r="G368">
        <v>10</v>
      </c>
      <c r="H368" t="s">
        <v>35</v>
      </c>
      <c r="I368" s="2">
        <v>3988.52</v>
      </c>
      <c r="J368" s="2">
        <v>4240.2299999999996</v>
      </c>
      <c r="K368" t="s">
        <v>30</v>
      </c>
      <c r="L368" s="5">
        <v>0.05</v>
      </c>
      <c r="M368" t="s">
        <v>31</v>
      </c>
      <c r="N368" t="s">
        <v>19</v>
      </c>
      <c r="O368" t="s">
        <v>37</v>
      </c>
      <c r="P368" s="4">
        <f t="shared" si="10"/>
        <v>40282.184999999998</v>
      </c>
      <c r="Q368" s="4">
        <f t="shared" si="11"/>
        <v>396.98499999999513</v>
      </c>
      <c r="R368" t="str">
        <f>IF( Table1[[#This Row],[Total Amount after sale]] &gt; 0,"PROFIT","LOSS")</f>
        <v>PROFIT</v>
      </c>
      <c r="S368" s="3">
        <f>(Table1[[#This Row],[Total Amount after sale]]/Table1[[#This Row],[Price after discount]])</f>
        <v>9.8551009584012181E-3</v>
      </c>
    </row>
    <row r="369" spans="1:19" x14ac:dyDescent="0.3">
      <c r="A369">
        <v>1049</v>
      </c>
      <c r="B369" s="1">
        <v>45060</v>
      </c>
      <c r="C369" s="1">
        <f>DATE(YEAR(Table1[[#This Row],[Sale_Date]]), MONTH(Table1[[#This Row],[Sale_Date]]), 1)</f>
        <v>45047</v>
      </c>
      <c r="D369" t="s">
        <v>38</v>
      </c>
      <c r="E369" t="s">
        <v>25</v>
      </c>
      <c r="F369" s="2">
        <v>9298.48</v>
      </c>
      <c r="G369">
        <v>22</v>
      </c>
      <c r="H369" t="s">
        <v>35</v>
      </c>
      <c r="I369" s="2">
        <v>4573.6899999999996</v>
      </c>
      <c r="J369" s="2">
        <v>4820.2999999999902</v>
      </c>
      <c r="K369" t="s">
        <v>30</v>
      </c>
      <c r="L369" s="5">
        <v>0.04</v>
      </c>
      <c r="M369" t="s">
        <v>18</v>
      </c>
      <c r="N369" t="s">
        <v>19</v>
      </c>
      <c r="O369" t="s">
        <v>39</v>
      </c>
      <c r="P369" s="4">
        <f t="shared" si="10"/>
        <v>101804.73599999979</v>
      </c>
      <c r="Q369" s="4">
        <f t="shared" si="11"/>
        <v>1183.5559999997949</v>
      </c>
      <c r="R369" t="str">
        <f>IF( Table1[[#This Row],[Total Amount after sale]] &gt; 0,"PROFIT","LOSS")</f>
        <v>PROFIT</v>
      </c>
      <c r="S369" s="3">
        <f>(Table1[[#This Row],[Total Amount after sale]]/Table1[[#This Row],[Price after discount]])</f>
        <v>1.1625745977081041E-2</v>
      </c>
    </row>
    <row r="370" spans="1:19" x14ac:dyDescent="0.3">
      <c r="A370">
        <v>1062</v>
      </c>
      <c r="B370" s="1">
        <v>45062</v>
      </c>
      <c r="C370" s="1">
        <f>DATE(YEAR(Table1[[#This Row],[Sale_Date]]), MONTH(Table1[[#This Row],[Sale_Date]]), 1)</f>
        <v>45047</v>
      </c>
      <c r="D370" t="s">
        <v>33</v>
      </c>
      <c r="E370" t="s">
        <v>15</v>
      </c>
      <c r="F370" s="2">
        <v>8495.6200000000008</v>
      </c>
      <c r="G370">
        <v>46</v>
      </c>
      <c r="H370" t="s">
        <v>16</v>
      </c>
      <c r="I370" s="2">
        <v>159.32</v>
      </c>
      <c r="J370" s="2">
        <v>303.36</v>
      </c>
      <c r="K370" t="s">
        <v>30</v>
      </c>
      <c r="L370" s="5">
        <v>0.03</v>
      </c>
      <c r="M370" t="s">
        <v>18</v>
      </c>
      <c r="N370" t="s">
        <v>22</v>
      </c>
      <c r="O370" t="s">
        <v>53</v>
      </c>
      <c r="P370" s="4">
        <f t="shared" si="10"/>
        <v>13535.923200000001</v>
      </c>
      <c r="Q370" s="4">
        <f t="shared" si="11"/>
        <v>6207.2032000000017</v>
      </c>
      <c r="R370" t="str">
        <f>IF( Table1[[#This Row],[Total Amount after sale]] &gt; 0,"PROFIT","LOSS")</f>
        <v>PROFIT</v>
      </c>
      <c r="S370" s="3">
        <f>(Table1[[#This Row],[Total Amount after sale]]/Table1[[#This Row],[Price after discount]])</f>
        <v>0.45857257818956904</v>
      </c>
    </row>
    <row r="371" spans="1:19" x14ac:dyDescent="0.3">
      <c r="A371">
        <v>1049</v>
      </c>
      <c r="B371" s="1">
        <v>45063</v>
      </c>
      <c r="C371" s="1">
        <f>DATE(YEAR(Table1[[#This Row],[Sale_Date]]), MONTH(Table1[[#This Row],[Sale_Date]]), 1)</f>
        <v>45047</v>
      </c>
      <c r="D371" t="s">
        <v>42</v>
      </c>
      <c r="E371" t="s">
        <v>21</v>
      </c>
      <c r="F371" s="2">
        <v>3741.08</v>
      </c>
      <c r="G371">
        <v>1</v>
      </c>
      <c r="H371" t="s">
        <v>16</v>
      </c>
      <c r="I371" s="2">
        <v>3290.89</v>
      </c>
      <c r="J371" s="2">
        <v>3317.75</v>
      </c>
      <c r="K371" t="s">
        <v>17</v>
      </c>
      <c r="L371" s="5">
        <v>0.17</v>
      </c>
      <c r="M371" t="s">
        <v>27</v>
      </c>
      <c r="N371" t="s">
        <v>19</v>
      </c>
      <c r="O371" t="s">
        <v>51</v>
      </c>
      <c r="P371" s="4">
        <f t="shared" si="10"/>
        <v>2753.7325000000001</v>
      </c>
      <c r="Q371" s="4">
        <f t="shared" si="11"/>
        <v>-537.1574999999998</v>
      </c>
      <c r="R371" t="str">
        <f>IF( Table1[[#This Row],[Total Amount after sale]] &gt; 0,"PROFIT","LOSS")</f>
        <v>LOSS</v>
      </c>
      <c r="S371" s="3">
        <f>(Table1[[#This Row],[Total Amount after sale]]/Table1[[#This Row],[Price after discount]])</f>
        <v>-0.19506524326527713</v>
      </c>
    </row>
    <row r="372" spans="1:19" x14ac:dyDescent="0.3">
      <c r="A372">
        <v>1053</v>
      </c>
      <c r="B372" s="1">
        <v>45063</v>
      </c>
      <c r="C372" s="1">
        <f>DATE(YEAR(Table1[[#This Row],[Sale_Date]]), MONTH(Table1[[#This Row],[Sale_Date]]), 1)</f>
        <v>45047</v>
      </c>
      <c r="D372" t="s">
        <v>14</v>
      </c>
      <c r="E372" t="s">
        <v>25</v>
      </c>
      <c r="F372" s="2">
        <v>7835.09</v>
      </c>
      <c r="G372">
        <v>36</v>
      </c>
      <c r="H372" t="s">
        <v>29</v>
      </c>
      <c r="I372" s="2">
        <v>4252.17</v>
      </c>
      <c r="J372" s="2">
        <v>4720.2700000000004</v>
      </c>
      <c r="K372" t="s">
        <v>30</v>
      </c>
      <c r="L372" s="5">
        <v>0.09</v>
      </c>
      <c r="M372" t="s">
        <v>18</v>
      </c>
      <c r="N372" t="s">
        <v>22</v>
      </c>
      <c r="O372" t="s">
        <v>32</v>
      </c>
      <c r="P372" s="4">
        <f t="shared" si="10"/>
        <v>154636.04519999999</v>
      </c>
      <c r="Q372" s="4">
        <f t="shared" si="11"/>
        <v>1557.9252000000051</v>
      </c>
      <c r="R372" t="str">
        <f>IF( Table1[[#This Row],[Total Amount after sale]] &gt; 0,"PROFIT","LOSS")</f>
        <v>PROFIT</v>
      </c>
      <c r="S372" s="3">
        <f>(Table1[[#This Row],[Total Amount after sale]]/Table1[[#This Row],[Price after discount]])</f>
        <v>1.0074786884164348E-2</v>
      </c>
    </row>
    <row r="373" spans="1:19" x14ac:dyDescent="0.3">
      <c r="A373">
        <v>1056</v>
      </c>
      <c r="B373" s="1">
        <v>45063</v>
      </c>
      <c r="C373" s="1">
        <f>DATE(YEAR(Table1[[#This Row],[Sale_Date]]), MONTH(Table1[[#This Row],[Sale_Date]]), 1)</f>
        <v>45047</v>
      </c>
      <c r="D373" t="s">
        <v>24</v>
      </c>
      <c r="E373" t="s">
        <v>21</v>
      </c>
      <c r="F373" s="2">
        <v>8374.68</v>
      </c>
      <c r="G373">
        <v>47</v>
      </c>
      <c r="H373" t="s">
        <v>16</v>
      </c>
      <c r="I373" s="2">
        <v>2461.6999999999998</v>
      </c>
      <c r="J373" s="2">
        <v>2529.02</v>
      </c>
      <c r="K373" t="s">
        <v>17</v>
      </c>
      <c r="L373" s="5">
        <v>0.22</v>
      </c>
      <c r="M373" t="s">
        <v>18</v>
      </c>
      <c r="N373" t="s">
        <v>22</v>
      </c>
      <c r="O373" t="s">
        <v>47</v>
      </c>
      <c r="P373" s="4">
        <f t="shared" si="10"/>
        <v>92713.873200000002</v>
      </c>
      <c r="Q373" s="4">
        <f t="shared" si="11"/>
        <v>-22986.026799999989</v>
      </c>
      <c r="R373" t="str">
        <f>IF( Table1[[#This Row],[Total Amount after sale]] &gt; 0,"PROFIT","LOSS")</f>
        <v>LOSS</v>
      </c>
      <c r="S373" s="3">
        <f>(Table1[[#This Row],[Total Amount after sale]]/Table1[[#This Row],[Price after discount]])</f>
        <v>-0.24792435054908254</v>
      </c>
    </row>
    <row r="374" spans="1:19" x14ac:dyDescent="0.3">
      <c r="A374">
        <v>1004</v>
      </c>
      <c r="B374" s="1">
        <v>45063</v>
      </c>
      <c r="C374" s="1">
        <f>DATE(YEAR(Table1[[#This Row],[Sale_Date]]), MONTH(Table1[[#This Row],[Sale_Date]]), 1)</f>
        <v>45047</v>
      </c>
      <c r="D374" t="s">
        <v>42</v>
      </c>
      <c r="E374" t="s">
        <v>15</v>
      </c>
      <c r="F374" s="2">
        <v>5198.5600000000004</v>
      </c>
      <c r="G374">
        <v>36</v>
      </c>
      <c r="H374" t="s">
        <v>26</v>
      </c>
      <c r="I374" s="2">
        <v>3981.2</v>
      </c>
      <c r="J374" s="2">
        <v>4432.3499999999904</v>
      </c>
      <c r="K374" t="s">
        <v>30</v>
      </c>
      <c r="L374" s="5">
        <v>0.14000000000000001</v>
      </c>
      <c r="M374" t="s">
        <v>18</v>
      </c>
      <c r="N374" t="s">
        <v>19</v>
      </c>
      <c r="O374" t="s">
        <v>49</v>
      </c>
      <c r="P374" s="4">
        <f t="shared" si="10"/>
        <v>137225.55599999969</v>
      </c>
      <c r="Q374" s="4">
        <f t="shared" si="11"/>
        <v>-6097.6440000002913</v>
      </c>
      <c r="R374" t="str">
        <f>IF( Table1[[#This Row],[Total Amount after sale]] &gt; 0,"PROFIT","LOSS")</f>
        <v>LOSS</v>
      </c>
      <c r="S374" s="3">
        <f>(Table1[[#This Row],[Total Amount after sale]]/Table1[[#This Row],[Price after discount]])</f>
        <v>-4.4435192523470668E-2</v>
      </c>
    </row>
    <row r="375" spans="1:19" x14ac:dyDescent="0.3">
      <c r="A375">
        <v>1050</v>
      </c>
      <c r="B375" s="1">
        <v>45063</v>
      </c>
      <c r="C375" s="1">
        <f>DATE(YEAR(Table1[[#This Row],[Sale_Date]]), MONTH(Table1[[#This Row],[Sale_Date]]), 1)</f>
        <v>45047</v>
      </c>
      <c r="D375" t="s">
        <v>14</v>
      </c>
      <c r="E375" t="s">
        <v>15</v>
      </c>
      <c r="F375" s="2">
        <v>2254.91</v>
      </c>
      <c r="G375">
        <v>45</v>
      </c>
      <c r="H375" t="s">
        <v>16</v>
      </c>
      <c r="I375" s="2">
        <v>112.35</v>
      </c>
      <c r="J375" s="2">
        <v>586.17999999999995</v>
      </c>
      <c r="K375" t="s">
        <v>17</v>
      </c>
      <c r="L375" s="5">
        <v>0.28000000000000003</v>
      </c>
      <c r="M375" t="s">
        <v>31</v>
      </c>
      <c r="N375" t="s">
        <v>22</v>
      </c>
      <c r="O375" t="s">
        <v>20</v>
      </c>
      <c r="P375" s="4">
        <f t="shared" si="10"/>
        <v>18992.231999999996</v>
      </c>
      <c r="Q375" s="4">
        <f t="shared" si="11"/>
        <v>13936.481999999996</v>
      </c>
      <c r="R375" t="str">
        <f>IF( Table1[[#This Row],[Total Amount after sale]] &gt; 0,"PROFIT","LOSS")</f>
        <v>PROFIT</v>
      </c>
      <c r="S375" s="3">
        <f>(Table1[[#This Row],[Total Amount after sale]]/Table1[[#This Row],[Price after discount]])</f>
        <v>0.73379906058434829</v>
      </c>
    </row>
    <row r="376" spans="1:19" x14ac:dyDescent="0.3">
      <c r="A376">
        <v>1063</v>
      </c>
      <c r="B376" s="1">
        <v>45064</v>
      </c>
      <c r="C376" s="1">
        <f>DATE(YEAR(Table1[[#This Row],[Sale_Date]]), MONTH(Table1[[#This Row],[Sale_Date]]), 1)</f>
        <v>45047</v>
      </c>
      <c r="D376" t="s">
        <v>14</v>
      </c>
      <c r="E376" t="s">
        <v>21</v>
      </c>
      <c r="F376" s="2">
        <v>3098.87</v>
      </c>
      <c r="G376">
        <v>39</v>
      </c>
      <c r="H376" t="s">
        <v>26</v>
      </c>
      <c r="I376" s="2">
        <v>3577.69</v>
      </c>
      <c r="J376" s="2">
        <v>3931.25</v>
      </c>
      <c r="K376" t="s">
        <v>17</v>
      </c>
      <c r="L376" s="5">
        <v>0.21</v>
      </c>
      <c r="M376" t="s">
        <v>18</v>
      </c>
      <c r="N376" t="s">
        <v>22</v>
      </c>
      <c r="O376" t="s">
        <v>23</v>
      </c>
      <c r="P376" s="4">
        <f t="shared" si="10"/>
        <v>121121.8125</v>
      </c>
      <c r="Q376" s="4">
        <f t="shared" si="11"/>
        <v>-18408.097500000003</v>
      </c>
      <c r="R376" t="str">
        <f>IF( Table1[[#This Row],[Total Amount after sale]] &gt; 0,"PROFIT","LOSS")</f>
        <v>LOSS</v>
      </c>
      <c r="S376" s="3">
        <f>(Table1[[#This Row],[Total Amount after sale]]/Table1[[#This Row],[Price after discount]])</f>
        <v>-0.15198003662635087</v>
      </c>
    </row>
    <row r="377" spans="1:19" x14ac:dyDescent="0.3">
      <c r="A377">
        <v>1050</v>
      </c>
      <c r="B377" s="1">
        <v>45065</v>
      </c>
      <c r="C377" s="1">
        <f>DATE(YEAR(Table1[[#This Row],[Sale_Date]]), MONTH(Table1[[#This Row],[Sale_Date]]), 1)</f>
        <v>45047</v>
      </c>
      <c r="D377" t="s">
        <v>33</v>
      </c>
      <c r="E377" t="s">
        <v>34</v>
      </c>
      <c r="F377" s="2">
        <v>9744.52</v>
      </c>
      <c r="G377">
        <v>35</v>
      </c>
      <c r="H377" t="s">
        <v>29</v>
      </c>
      <c r="I377" s="2">
        <v>2158.69</v>
      </c>
      <c r="J377" s="2">
        <v>2384.38</v>
      </c>
      <c r="K377" t="s">
        <v>17</v>
      </c>
      <c r="L377" s="5">
        <v>0.09</v>
      </c>
      <c r="M377" t="s">
        <v>27</v>
      </c>
      <c r="N377" t="s">
        <v>22</v>
      </c>
      <c r="O377" t="s">
        <v>36</v>
      </c>
      <c r="P377" s="4">
        <f t="shared" si="10"/>
        <v>75942.502999999997</v>
      </c>
      <c r="Q377" s="4">
        <f t="shared" si="11"/>
        <v>388.35300000000188</v>
      </c>
      <c r="R377" t="str">
        <f>IF( Table1[[#This Row],[Total Amount after sale]] &gt; 0,"PROFIT","LOSS")</f>
        <v>PROFIT</v>
      </c>
      <c r="S377" s="3">
        <f>(Table1[[#This Row],[Total Amount after sale]]/Table1[[#This Row],[Price after discount]])</f>
        <v>5.1137766686463037E-3</v>
      </c>
    </row>
    <row r="378" spans="1:19" x14ac:dyDescent="0.3">
      <c r="A378">
        <v>1071</v>
      </c>
      <c r="B378" s="1">
        <v>45066</v>
      </c>
      <c r="C378" s="1">
        <f>DATE(YEAR(Table1[[#This Row],[Sale_Date]]), MONTH(Table1[[#This Row],[Sale_Date]]), 1)</f>
        <v>45047</v>
      </c>
      <c r="D378" t="s">
        <v>38</v>
      </c>
      <c r="E378" t="s">
        <v>21</v>
      </c>
      <c r="F378" s="2">
        <v>3003.76</v>
      </c>
      <c r="G378">
        <v>6</v>
      </c>
      <c r="H378" t="s">
        <v>16</v>
      </c>
      <c r="I378" s="2">
        <v>2831.23</v>
      </c>
      <c r="J378" s="2">
        <v>3206.98</v>
      </c>
      <c r="K378" t="s">
        <v>17</v>
      </c>
      <c r="L378" s="5">
        <v>0.06</v>
      </c>
      <c r="M378" t="s">
        <v>27</v>
      </c>
      <c r="N378" t="s">
        <v>22</v>
      </c>
      <c r="O378" t="s">
        <v>41</v>
      </c>
      <c r="P378" s="4">
        <f t="shared" si="10"/>
        <v>18087.367199999997</v>
      </c>
      <c r="Q378" s="4">
        <f t="shared" si="11"/>
        <v>1099.9871999999978</v>
      </c>
      <c r="R378" t="str">
        <f>IF( Table1[[#This Row],[Total Amount after sale]] &gt; 0,"PROFIT","LOSS")</f>
        <v>PROFIT</v>
      </c>
      <c r="S378" s="3">
        <f>(Table1[[#This Row],[Total Amount after sale]]/Table1[[#This Row],[Price after discount]])</f>
        <v>6.0815219143668289E-2</v>
      </c>
    </row>
    <row r="379" spans="1:19" x14ac:dyDescent="0.3">
      <c r="A379">
        <v>1012</v>
      </c>
      <c r="B379" s="1">
        <v>45066</v>
      </c>
      <c r="C379" s="1">
        <f>DATE(YEAR(Table1[[#This Row],[Sale_Date]]), MONTH(Table1[[#This Row],[Sale_Date]]), 1)</f>
        <v>45047</v>
      </c>
      <c r="D379" t="s">
        <v>14</v>
      </c>
      <c r="E379" t="s">
        <v>15</v>
      </c>
      <c r="F379" s="2">
        <v>5371.79</v>
      </c>
      <c r="G379">
        <v>16</v>
      </c>
      <c r="H379" t="s">
        <v>26</v>
      </c>
      <c r="I379" s="2">
        <v>3466.11</v>
      </c>
      <c r="J379" s="2">
        <v>3799.67</v>
      </c>
      <c r="K379" t="s">
        <v>17</v>
      </c>
      <c r="L379" s="5">
        <v>0.01</v>
      </c>
      <c r="M379" t="s">
        <v>18</v>
      </c>
      <c r="N379" t="s">
        <v>22</v>
      </c>
      <c r="O379" t="s">
        <v>20</v>
      </c>
      <c r="P379" s="4">
        <f t="shared" si="10"/>
        <v>60186.772799999999</v>
      </c>
      <c r="Q379" s="4">
        <f t="shared" si="11"/>
        <v>4729.0127999999968</v>
      </c>
      <c r="R379" t="str">
        <f>IF( Table1[[#This Row],[Total Amount after sale]] &gt; 0,"PROFIT","LOSS")</f>
        <v>PROFIT</v>
      </c>
      <c r="S379" s="3">
        <f>(Table1[[#This Row],[Total Amount after sale]]/Table1[[#This Row],[Price after discount]])</f>
        <v>7.8572293877833516E-2</v>
      </c>
    </row>
    <row r="380" spans="1:19" x14ac:dyDescent="0.3">
      <c r="A380">
        <v>1059</v>
      </c>
      <c r="B380" s="1">
        <v>45067</v>
      </c>
      <c r="C380" s="1">
        <f>DATE(YEAR(Table1[[#This Row],[Sale_Date]]), MONTH(Table1[[#This Row],[Sale_Date]]), 1)</f>
        <v>45047</v>
      </c>
      <c r="D380" t="s">
        <v>42</v>
      </c>
      <c r="E380" t="s">
        <v>15</v>
      </c>
      <c r="F380" s="2">
        <v>5108.9799999999996</v>
      </c>
      <c r="G380">
        <v>37</v>
      </c>
      <c r="H380" t="s">
        <v>35</v>
      </c>
      <c r="I380" s="2">
        <v>4146.99</v>
      </c>
      <c r="J380" s="2">
        <v>4172.3499999999904</v>
      </c>
      <c r="K380" t="s">
        <v>17</v>
      </c>
      <c r="L380" s="5">
        <v>0.06</v>
      </c>
      <c r="M380" t="s">
        <v>18</v>
      </c>
      <c r="N380" t="s">
        <v>22</v>
      </c>
      <c r="O380" t="s">
        <v>49</v>
      </c>
      <c r="P380" s="4">
        <f t="shared" si="10"/>
        <v>145114.33299999966</v>
      </c>
      <c r="Q380" s="4">
        <f t="shared" si="11"/>
        <v>-8324.2970000003279</v>
      </c>
      <c r="R380" t="str">
        <f>IF( Table1[[#This Row],[Total Amount after sale]] &gt; 0,"PROFIT","LOSS")</f>
        <v>LOSS</v>
      </c>
      <c r="S380" s="3">
        <f>(Table1[[#This Row],[Total Amount after sale]]/Table1[[#This Row],[Price after discount]])</f>
        <v>-5.7363713341812672E-2</v>
      </c>
    </row>
    <row r="381" spans="1:19" x14ac:dyDescent="0.3">
      <c r="A381">
        <v>1002</v>
      </c>
      <c r="B381" s="1">
        <v>45067</v>
      </c>
      <c r="C381" s="1">
        <f>DATE(YEAR(Table1[[#This Row],[Sale_Date]]), MONTH(Table1[[#This Row],[Sale_Date]]), 1)</f>
        <v>45047</v>
      </c>
      <c r="D381" t="s">
        <v>33</v>
      </c>
      <c r="E381" t="s">
        <v>21</v>
      </c>
      <c r="F381" s="2">
        <v>7828.25</v>
      </c>
      <c r="G381">
        <v>26</v>
      </c>
      <c r="H381" t="s">
        <v>29</v>
      </c>
      <c r="I381" s="2">
        <v>2041.42</v>
      </c>
      <c r="J381" s="2">
        <v>2291.17</v>
      </c>
      <c r="K381" t="s">
        <v>17</v>
      </c>
      <c r="L381" s="5">
        <v>0.28000000000000003</v>
      </c>
      <c r="M381" t="s">
        <v>18</v>
      </c>
      <c r="N381" t="s">
        <v>19</v>
      </c>
      <c r="O381" t="s">
        <v>37</v>
      </c>
      <c r="P381" s="4">
        <f t="shared" si="10"/>
        <v>42890.702400000002</v>
      </c>
      <c r="Q381" s="4">
        <f t="shared" si="11"/>
        <v>-10186.217600000004</v>
      </c>
      <c r="R381" t="str">
        <f>IF( Table1[[#This Row],[Total Amount after sale]] &gt; 0,"PROFIT","LOSS")</f>
        <v>LOSS</v>
      </c>
      <c r="S381" s="3">
        <f>(Table1[[#This Row],[Total Amount after sale]]/Table1[[#This Row],[Price after discount]])</f>
        <v>-0.23749244078595466</v>
      </c>
    </row>
    <row r="382" spans="1:19" x14ac:dyDescent="0.3">
      <c r="A382">
        <v>1008</v>
      </c>
      <c r="B382" s="1">
        <v>45067</v>
      </c>
      <c r="C382" s="1">
        <f>DATE(YEAR(Table1[[#This Row],[Sale_Date]]), MONTH(Table1[[#This Row],[Sale_Date]]), 1)</f>
        <v>45047</v>
      </c>
      <c r="D382" t="s">
        <v>24</v>
      </c>
      <c r="E382" t="s">
        <v>34</v>
      </c>
      <c r="F382" s="2">
        <v>5197.84</v>
      </c>
      <c r="G382">
        <v>37</v>
      </c>
      <c r="H382" t="s">
        <v>16</v>
      </c>
      <c r="I382" s="2">
        <v>1712.43</v>
      </c>
      <c r="J382" s="2">
        <v>1980.06</v>
      </c>
      <c r="K382" t="s">
        <v>30</v>
      </c>
      <c r="L382" s="5">
        <v>0.26</v>
      </c>
      <c r="M382" t="s">
        <v>18</v>
      </c>
      <c r="N382" t="s">
        <v>19</v>
      </c>
      <c r="O382" t="s">
        <v>50</v>
      </c>
      <c r="P382" s="4">
        <f t="shared" si="10"/>
        <v>54214.042800000003</v>
      </c>
      <c r="Q382" s="4">
        <f t="shared" si="11"/>
        <v>-9145.8672000000006</v>
      </c>
      <c r="R382" t="str">
        <f>IF( Table1[[#This Row],[Total Amount after sale]] &gt; 0,"PROFIT","LOSS")</f>
        <v>LOSS</v>
      </c>
      <c r="S382" s="3">
        <f>(Table1[[#This Row],[Total Amount after sale]]/Table1[[#This Row],[Price after discount]])</f>
        <v>-0.16869922860650416</v>
      </c>
    </row>
    <row r="383" spans="1:19" x14ac:dyDescent="0.3">
      <c r="A383">
        <v>1035</v>
      </c>
      <c r="B383" s="1">
        <v>45068</v>
      </c>
      <c r="C383" s="1">
        <f>DATE(YEAR(Table1[[#This Row],[Sale_Date]]), MONTH(Table1[[#This Row],[Sale_Date]]), 1)</f>
        <v>45047</v>
      </c>
      <c r="D383" t="s">
        <v>42</v>
      </c>
      <c r="E383" t="s">
        <v>25</v>
      </c>
      <c r="F383" s="2">
        <v>3780.22</v>
      </c>
      <c r="G383">
        <v>45</v>
      </c>
      <c r="H383" t="s">
        <v>26</v>
      </c>
      <c r="I383" s="2">
        <v>4132.79</v>
      </c>
      <c r="J383" s="2">
        <v>4624.1000000000004</v>
      </c>
      <c r="K383" t="s">
        <v>30</v>
      </c>
      <c r="L383" s="5">
        <v>0.15</v>
      </c>
      <c r="M383" t="s">
        <v>31</v>
      </c>
      <c r="N383" t="s">
        <v>22</v>
      </c>
      <c r="O383" t="s">
        <v>43</v>
      </c>
      <c r="P383" s="4">
        <f t="shared" si="10"/>
        <v>176871.82500000001</v>
      </c>
      <c r="Q383" s="4">
        <f t="shared" si="11"/>
        <v>-9103.7249999999931</v>
      </c>
      <c r="R383" t="str">
        <f>IF( Table1[[#This Row],[Total Amount after sale]] &gt; 0,"PROFIT","LOSS")</f>
        <v>LOSS</v>
      </c>
      <c r="S383" s="3">
        <f>(Table1[[#This Row],[Total Amount after sale]]/Table1[[#This Row],[Price after discount]])</f>
        <v>-5.1470747248749157E-2</v>
      </c>
    </row>
    <row r="384" spans="1:19" x14ac:dyDescent="0.3">
      <c r="A384">
        <v>1049</v>
      </c>
      <c r="B384" s="1">
        <v>45068</v>
      </c>
      <c r="C384" s="1">
        <f>DATE(YEAR(Table1[[#This Row],[Sale_Date]]), MONTH(Table1[[#This Row],[Sale_Date]]), 1)</f>
        <v>45047</v>
      </c>
      <c r="D384" t="s">
        <v>14</v>
      </c>
      <c r="E384" t="s">
        <v>34</v>
      </c>
      <c r="F384" s="2">
        <v>4216.17</v>
      </c>
      <c r="G384">
        <v>19</v>
      </c>
      <c r="H384" t="s">
        <v>29</v>
      </c>
      <c r="I384" s="2">
        <v>3316.97</v>
      </c>
      <c r="J384" s="2">
        <v>3544.02</v>
      </c>
      <c r="K384" t="s">
        <v>17</v>
      </c>
      <c r="L384" s="5">
        <v>0.14000000000000001</v>
      </c>
      <c r="M384" t="s">
        <v>18</v>
      </c>
      <c r="N384" t="s">
        <v>19</v>
      </c>
      <c r="O384" t="s">
        <v>46</v>
      </c>
      <c r="P384" s="4">
        <f t="shared" si="10"/>
        <v>57909.286800000002</v>
      </c>
      <c r="Q384" s="4">
        <f t="shared" si="11"/>
        <v>-5113.1431999999977</v>
      </c>
      <c r="R384" t="str">
        <f>IF( Table1[[#This Row],[Total Amount after sale]] &gt; 0,"PROFIT","LOSS")</f>
        <v>LOSS</v>
      </c>
      <c r="S384" s="3">
        <f>(Table1[[#This Row],[Total Amount after sale]]/Table1[[#This Row],[Price after discount]])</f>
        <v>-8.8295737739943939E-2</v>
      </c>
    </row>
    <row r="385" spans="1:19" x14ac:dyDescent="0.3">
      <c r="A385">
        <v>1044</v>
      </c>
      <c r="B385" s="1">
        <v>45069</v>
      </c>
      <c r="C385" s="1">
        <f>DATE(YEAR(Table1[[#This Row],[Sale_Date]]), MONTH(Table1[[#This Row],[Sale_Date]]), 1)</f>
        <v>45047</v>
      </c>
      <c r="D385" t="s">
        <v>14</v>
      </c>
      <c r="E385" t="s">
        <v>21</v>
      </c>
      <c r="F385" s="2">
        <v>8552.4699999999993</v>
      </c>
      <c r="G385">
        <v>19</v>
      </c>
      <c r="H385" t="s">
        <v>26</v>
      </c>
      <c r="I385" s="2">
        <v>2182.75</v>
      </c>
      <c r="J385" s="2">
        <v>2504.0299999999902</v>
      </c>
      <c r="K385" t="s">
        <v>30</v>
      </c>
      <c r="L385" s="5">
        <v>0.01</v>
      </c>
      <c r="M385" t="s">
        <v>27</v>
      </c>
      <c r="N385" t="s">
        <v>19</v>
      </c>
      <c r="O385" t="s">
        <v>23</v>
      </c>
      <c r="P385" s="4">
        <f t="shared" si="10"/>
        <v>47100.804299999814</v>
      </c>
      <c r="Q385" s="4">
        <f t="shared" si="11"/>
        <v>5628.5542999998115</v>
      </c>
      <c r="R385" t="str">
        <f>IF( Table1[[#This Row],[Total Amount after sale]] &gt; 0,"PROFIT","LOSS")</f>
        <v>PROFIT</v>
      </c>
      <c r="S385" s="3">
        <f>(Table1[[#This Row],[Total Amount after sale]]/Table1[[#This Row],[Price after discount]])</f>
        <v>0.11950017380063792</v>
      </c>
    </row>
    <row r="386" spans="1:19" x14ac:dyDescent="0.3">
      <c r="A386">
        <v>1100</v>
      </c>
      <c r="B386" s="1">
        <v>45069</v>
      </c>
      <c r="C386" s="1">
        <f>DATE(YEAR(Table1[[#This Row],[Sale_Date]]), MONTH(Table1[[#This Row],[Sale_Date]]), 1)</f>
        <v>45047</v>
      </c>
      <c r="D386" t="s">
        <v>14</v>
      </c>
      <c r="E386" t="s">
        <v>21</v>
      </c>
      <c r="F386" s="2">
        <v>7667.96</v>
      </c>
      <c r="G386">
        <v>29</v>
      </c>
      <c r="H386" t="s">
        <v>26</v>
      </c>
      <c r="I386" s="2">
        <v>3559.56</v>
      </c>
      <c r="J386" s="2">
        <v>3607.15</v>
      </c>
      <c r="K386" t="s">
        <v>17</v>
      </c>
      <c r="L386" s="5">
        <v>0.21</v>
      </c>
      <c r="M386" t="s">
        <v>18</v>
      </c>
      <c r="N386" t="s">
        <v>22</v>
      </c>
      <c r="O386" t="s">
        <v>23</v>
      </c>
      <c r="P386" s="4">
        <f t="shared" ref="P386:P449" si="12" xml:space="preserve"> J386 * (1 - L386) * G386</f>
        <v>82639.806500000006</v>
      </c>
      <c r="Q386" s="4">
        <f t="shared" ref="Q386:Q449" si="13" xml:space="preserve"> (J386 * (1 - L386) - I386) * G386</f>
        <v>-20587.433499999992</v>
      </c>
      <c r="R386" t="str">
        <f>IF( Table1[[#This Row],[Total Amount after sale]] &gt; 0,"PROFIT","LOSS")</f>
        <v>LOSS</v>
      </c>
      <c r="S386" s="3">
        <f>(Table1[[#This Row],[Total Amount after sale]]/Table1[[#This Row],[Price after discount]])</f>
        <v>-0.24912247949176877</v>
      </c>
    </row>
    <row r="387" spans="1:19" x14ac:dyDescent="0.3">
      <c r="A387">
        <v>1067</v>
      </c>
      <c r="B387" s="1">
        <v>45069</v>
      </c>
      <c r="C387" s="1">
        <f>DATE(YEAR(Table1[[#This Row],[Sale_Date]]), MONTH(Table1[[#This Row],[Sale_Date]]), 1)</f>
        <v>45047</v>
      </c>
      <c r="D387" t="s">
        <v>14</v>
      </c>
      <c r="E387" t="s">
        <v>15</v>
      </c>
      <c r="F387" s="2">
        <v>3133.99</v>
      </c>
      <c r="G387">
        <v>49</v>
      </c>
      <c r="H387" t="s">
        <v>16</v>
      </c>
      <c r="I387" s="2">
        <v>2628.38</v>
      </c>
      <c r="J387" s="2">
        <v>2644.54</v>
      </c>
      <c r="K387" t="s">
        <v>17</v>
      </c>
      <c r="L387" s="5">
        <v>0.11</v>
      </c>
      <c r="M387" t="s">
        <v>18</v>
      </c>
      <c r="N387" t="s">
        <v>19</v>
      </c>
      <c r="O387" t="s">
        <v>20</v>
      </c>
      <c r="P387" s="4">
        <f t="shared" si="12"/>
        <v>115328.38940000001</v>
      </c>
      <c r="Q387" s="4">
        <f t="shared" si="13"/>
        <v>-13462.230599999997</v>
      </c>
      <c r="R387" t="str">
        <f>IF( Table1[[#This Row],[Total Amount after sale]] &gt; 0,"PROFIT","LOSS")</f>
        <v>LOSS</v>
      </c>
      <c r="S387" s="3">
        <f>(Table1[[#This Row],[Total Amount after sale]]/Table1[[#This Row],[Price after discount]])</f>
        <v>-0.11672954655863767</v>
      </c>
    </row>
    <row r="388" spans="1:19" x14ac:dyDescent="0.3">
      <c r="A388">
        <v>1019</v>
      </c>
      <c r="B388" s="1">
        <v>45070</v>
      </c>
      <c r="C388" s="1">
        <f>DATE(YEAR(Table1[[#This Row],[Sale_Date]]), MONTH(Table1[[#This Row],[Sale_Date]]), 1)</f>
        <v>45047</v>
      </c>
      <c r="D388" t="s">
        <v>38</v>
      </c>
      <c r="E388" t="s">
        <v>25</v>
      </c>
      <c r="F388" s="2">
        <v>1114.9100000000001</v>
      </c>
      <c r="G388">
        <v>13</v>
      </c>
      <c r="H388" t="s">
        <v>26</v>
      </c>
      <c r="I388" s="2">
        <v>3102.73</v>
      </c>
      <c r="J388" s="2">
        <v>3202.68</v>
      </c>
      <c r="K388" t="s">
        <v>30</v>
      </c>
      <c r="L388" s="5">
        <v>0.09</v>
      </c>
      <c r="M388" t="s">
        <v>18</v>
      </c>
      <c r="N388" t="s">
        <v>19</v>
      </c>
      <c r="O388" t="s">
        <v>39</v>
      </c>
      <c r="P388" s="4">
        <f t="shared" si="12"/>
        <v>37887.704400000002</v>
      </c>
      <c r="Q388" s="4">
        <f t="shared" si="13"/>
        <v>-2447.7856000000015</v>
      </c>
      <c r="R388" t="str">
        <f>IF( Table1[[#This Row],[Total Amount after sale]] &gt; 0,"PROFIT","LOSS")</f>
        <v>LOSS</v>
      </c>
      <c r="S388" s="3">
        <f>(Table1[[#This Row],[Total Amount after sale]]/Table1[[#This Row],[Price after discount]])</f>
        <v>-6.4606331757592617E-2</v>
      </c>
    </row>
    <row r="389" spans="1:19" x14ac:dyDescent="0.3">
      <c r="A389">
        <v>1091</v>
      </c>
      <c r="B389" s="1">
        <v>45071</v>
      </c>
      <c r="C389" s="1">
        <f>DATE(YEAR(Table1[[#This Row],[Sale_Date]]), MONTH(Table1[[#This Row],[Sale_Date]]), 1)</f>
        <v>45047</v>
      </c>
      <c r="D389" t="s">
        <v>42</v>
      </c>
      <c r="E389" t="s">
        <v>15</v>
      </c>
      <c r="F389" s="2">
        <v>9610.2099999999991</v>
      </c>
      <c r="G389">
        <v>24</v>
      </c>
      <c r="H389" t="s">
        <v>29</v>
      </c>
      <c r="I389" s="2">
        <v>3639.3</v>
      </c>
      <c r="J389" s="2">
        <v>3750.63</v>
      </c>
      <c r="K389" t="s">
        <v>30</v>
      </c>
      <c r="L389" s="5">
        <v>0.23</v>
      </c>
      <c r="M389" t="s">
        <v>27</v>
      </c>
      <c r="N389" t="s">
        <v>22</v>
      </c>
      <c r="O389" t="s">
        <v>49</v>
      </c>
      <c r="P389" s="4">
        <f t="shared" si="12"/>
        <v>69311.642400000012</v>
      </c>
      <c r="Q389" s="4">
        <f t="shared" si="13"/>
        <v>-18031.557599999996</v>
      </c>
      <c r="R389" t="str">
        <f>IF( Table1[[#This Row],[Total Amount after sale]] &gt; 0,"PROFIT","LOSS")</f>
        <v>LOSS</v>
      </c>
      <c r="S389" s="3">
        <f>(Table1[[#This Row],[Total Amount after sale]]/Table1[[#This Row],[Price after discount]])</f>
        <v>-0.26015193083925525</v>
      </c>
    </row>
    <row r="390" spans="1:19" x14ac:dyDescent="0.3">
      <c r="A390">
        <v>1005</v>
      </c>
      <c r="B390" s="1">
        <v>45071</v>
      </c>
      <c r="C390" s="1">
        <f>DATE(YEAR(Table1[[#This Row],[Sale_Date]]), MONTH(Table1[[#This Row],[Sale_Date]]), 1)</f>
        <v>45047</v>
      </c>
      <c r="D390" t="s">
        <v>38</v>
      </c>
      <c r="E390" t="s">
        <v>15</v>
      </c>
      <c r="F390" s="2">
        <v>833.64</v>
      </c>
      <c r="G390">
        <v>2</v>
      </c>
      <c r="H390" t="s">
        <v>29</v>
      </c>
      <c r="I390" s="2">
        <v>1392.15</v>
      </c>
      <c r="J390" s="2">
        <v>1448.54</v>
      </c>
      <c r="K390" t="s">
        <v>17</v>
      </c>
      <c r="L390" s="5">
        <v>0.02</v>
      </c>
      <c r="M390" t="s">
        <v>27</v>
      </c>
      <c r="N390" t="s">
        <v>22</v>
      </c>
      <c r="O390" t="s">
        <v>40</v>
      </c>
      <c r="P390" s="4">
        <f t="shared" si="12"/>
        <v>2839.1383999999998</v>
      </c>
      <c r="Q390" s="4">
        <f t="shared" si="13"/>
        <v>54.838399999999638</v>
      </c>
      <c r="R390" t="str">
        <f>IF( Table1[[#This Row],[Total Amount after sale]] &gt; 0,"PROFIT","LOSS")</f>
        <v>PROFIT</v>
      </c>
      <c r="S390" s="3">
        <f>(Table1[[#This Row],[Total Amount after sale]]/Table1[[#This Row],[Price after discount]])</f>
        <v>1.9315155611998217E-2</v>
      </c>
    </row>
    <row r="391" spans="1:19" x14ac:dyDescent="0.3">
      <c r="A391">
        <v>1092</v>
      </c>
      <c r="B391" s="1">
        <v>45071</v>
      </c>
      <c r="C391" s="1">
        <f>DATE(YEAR(Table1[[#This Row],[Sale_Date]]), MONTH(Table1[[#This Row],[Sale_Date]]), 1)</f>
        <v>45047</v>
      </c>
      <c r="D391" t="s">
        <v>14</v>
      </c>
      <c r="E391" t="s">
        <v>34</v>
      </c>
      <c r="F391" s="2">
        <v>9220.94</v>
      </c>
      <c r="G391">
        <v>20</v>
      </c>
      <c r="H391" t="s">
        <v>26</v>
      </c>
      <c r="I391" s="2">
        <v>668.11</v>
      </c>
      <c r="J391" s="2">
        <v>803.49</v>
      </c>
      <c r="K391" t="s">
        <v>30</v>
      </c>
      <c r="L391" s="5">
        <v>0.21</v>
      </c>
      <c r="M391" t="s">
        <v>27</v>
      </c>
      <c r="N391" t="s">
        <v>19</v>
      </c>
      <c r="O391" t="s">
        <v>46</v>
      </c>
      <c r="P391" s="4">
        <f t="shared" si="12"/>
        <v>12695.142</v>
      </c>
      <c r="Q391" s="4">
        <f t="shared" si="13"/>
        <v>-667.05799999999954</v>
      </c>
      <c r="R391" t="str">
        <f>IF( Table1[[#This Row],[Total Amount after sale]] &gt; 0,"PROFIT","LOSS")</f>
        <v>LOSS</v>
      </c>
      <c r="S391" s="3">
        <f>(Table1[[#This Row],[Total Amount after sale]]/Table1[[#This Row],[Price after discount]])</f>
        <v>-5.2544351217182095E-2</v>
      </c>
    </row>
    <row r="392" spans="1:19" x14ac:dyDescent="0.3">
      <c r="A392">
        <v>1042</v>
      </c>
      <c r="B392" s="1">
        <v>45072</v>
      </c>
      <c r="C392" s="1">
        <f>DATE(YEAR(Table1[[#This Row],[Sale_Date]]), MONTH(Table1[[#This Row],[Sale_Date]]), 1)</f>
        <v>45047</v>
      </c>
      <c r="D392" t="s">
        <v>14</v>
      </c>
      <c r="E392" t="s">
        <v>34</v>
      </c>
      <c r="F392" s="2">
        <v>848.28</v>
      </c>
      <c r="G392">
        <v>1</v>
      </c>
      <c r="H392" t="s">
        <v>35</v>
      </c>
      <c r="I392" s="2">
        <v>1406.24</v>
      </c>
      <c r="J392" s="2">
        <v>1535.57</v>
      </c>
      <c r="K392" t="s">
        <v>30</v>
      </c>
      <c r="L392" s="5">
        <v>0.08</v>
      </c>
      <c r="M392" t="s">
        <v>31</v>
      </c>
      <c r="N392" t="s">
        <v>22</v>
      </c>
      <c r="O392" t="s">
        <v>46</v>
      </c>
      <c r="P392" s="4">
        <f t="shared" si="12"/>
        <v>1412.7244000000001</v>
      </c>
      <c r="Q392" s="4">
        <f t="shared" si="13"/>
        <v>6.4844000000000506</v>
      </c>
      <c r="R392" t="str">
        <f>IF( Table1[[#This Row],[Total Amount after sale]] &gt; 0,"PROFIT","LOSS")</f>
        <v>PROFIT</v>
      </c>
      <c r="S392" s="3">
        <f>(Table1[[#This Row],[Total Amount after sale]]/Table1[[#This Row],[Price after discount]])</f>
        <v>4.5899964635707077E-3</v>
      </c>
    </row>
    <row r="393" spans="1:19" x14ac:dyDescent="0.3">
      <c r="A393">
        <v>1082</v>
      </c>
      <c r="B393" s="1">
        <v>45072</v>
      </c>
      <c r="C393" s="1">
        <f>DATE(YEAR(Table1[[#This Row],[Sale_Date]]), MONTH(Table1[[#This Row],[Sale_Date]]), 1)</f>
        <v>45047</v>
      </c>
      <c r="D393" t="s">
        <v>24</v>
      </c>
      <c r="E393" t="s">
        <v>25</v>
      </c>
      <c r="F393" s="2">
        <v>6994.66</v>
      </c>
      <c r="G393">
        <v>2</v>
      </c>
      <c r="H393" t="s">
        <v>16</v>
      </c>
      <c r="I393" s="2">
        <v>1349.3</v>
      </c>
      <c r="J393" s="2">
        <v>1576.69</v>
      </c>
      <c r="K393" t="s">
        <v>17</v>
      </c>
      <c r="L393" s="5">
        <v>0.12</v>
      </c>
      <c r="M393" t="s">
        <v>31</v>
      </c>
      <c r="N393" t="s">
        <v>19</v>
      </c>
      <c r="O393" t="s">
        <v>28</v>
      </c>
      <c r="P393" s="4">
        <f t="shared" si="12"/>
        <v>2774.9744000000001</v>
      </c>
      <c r="Q393" s="4">
        <f t="shared" si="13"/>
        <v>76.374400000000151</v>
      </c>
      <c r="R393" t="str">
        <f>IF( Table1[[#This Row],[Total Amount after sale]] &gt; 0,"PROFIT","LOSS")</f>
        <v>PROFIT</v>
      </c>
      <c r="S393" s="3">
        <f>(Table1[[#This Row],[Total Amount after sale]]/Table1[[#This Row],[Price after discount]])</f>
        <v>2.7522560208123055E-2</v>
      </c>
    </row>
    <row r="394" spans="1:19" x14ac:dyDescent="0.3">
      <c r="A394">
        <v>1069</v>
      </c>
      <c r="B394" s="1">
        <v>45073</v>
      </c>
      <c r="C394" s="1">
        <f>DATE(YEAR(Table1[[#This Row],[Sale_Date]]), MONTH(Table1[[#This Row],[Sale_Date]]), 1)</f>
        <v>45047</v>
      </c>
      <c r="D394" t="s">
        <v>33</v>
      </c>
      <c r="E394" t="s">
        <v>21</v>
      </c>
      <c r="F394" s="2">
        <v>5760.29</v>
      </c>
      <c r="G394">
        <v>44</v>
      </c>
      <c r="H394" t="s">
        <v>35</v>
      </c>
      <c r="I394" s="2">
        <v>1084.73</v>
      </c>
      <c r="J394" s="2">
        <v>1420.9</v>
      </c>
      <c r="K394" t="s">
        <v>17</v>
      </c>
      <c r="L394" s="5">
        <v>0.05</v>
      </c>
      <c r="M394" t="s">
        <v>31</v>
      </c>
      <c r="N394" t="s">
        <v>19</v>
      </c>
      <c r="O394" t="s">
        <v>37</v>
      </c>
      <c r="P394" s="4">
        <f t="shared" si="12"/>
        <v>59393.62</v>
      </c>
      <c r="Q394" s="4">
        <f t="shared" si="13"/>
        <v>11665.5</v>
      </c>
      <c r="R394" t="str">
        <f>IF( Table1[[#This Row],[Total Amount after sale]] &gt; 0,"PROFIT","LOSS")</f>
        <v>PROFIT</v>
      </c>
      <c r="S394" s="3">
        <f>(Table1[[#This Row],[Total Amount after sale]]/Table1[[#This Row],[Price after discount]])</f>
        <v>0.1964099847761426</v>
      </c>
    </row>
    <row r="395" spans="1:19" x14ac:dyDescent="0.3">
      <c r="A395">
        <v>1003</v>
      </c>
      <c r="B395" s="1">
        <v>45073</v>
      </c>
      <c r="C395" s="1">
        <f>DATE(YEAR(Table1[[#This Row],[Sale_Date]]), MONTH(Table1[[#This Row],[Sale_Date]]), 1)</f>
        <v>45047</v>
      </c>
      <c r="D395" t="s">
        <v>38</v>
      </c>
      <c r="E395" t="s">
        <v>34</v>
      </c>
      <c r="F395" s="2">
        <v>5119.8900000000003</v>
      </c>
      <c r="G395">
        <v>39</v>
      </c>
      <c r="H395" t="s">
        <v>29</v>
      </c>
      <c r="I395" s="2">
        <v>310.95999999999998</v>
      </c>
      <c r="J395" s="2">
        <v>457.84</v>
      </c>
      <c r="K395" t="s">
        <v>30</v>
      </c>
      <c r="L395" s="5">
        <v>0.03</v>
      </c>
      <c r="M395" t="s">
        <v>31</v>
      </c>
      <c r="N395" t="s">
        <v>19</v>
      </c>
      <c r="O395" t="s">
        <v>48</v>
      </c>
      <c r="P395" s="4">
        <f t="shared" si="12"/>
        <v>17320.087199999998</v>
      </c>
      <c r="Q395" s="4">
        <f t="shared" si="13"/>
        <v>5192.6471999999994</v>
      </c>
      <c r="R395" t="str">
        <f>IF( Table1[[#This Row],[Total Amount after sale]] &gt; 0,"PROFIT","LOSS")</f>
        <v>PROFIT</v>
      </c>
      <c r="S395" s="3">
        <f>(Table1[[#This Row],[Total Amount after sale]]/Table1[[#This Row],[Price after discount]])</f>
        <v>0.29980491091291966</v>
      </c>
    </row>
    <row r="396" spans="1:19" x14ac:dyDescent="0.3">
      <c r="A396">
        <v>1074</v>
      </c>
      <c r="B396" s="1">
        <v>45073</v>
      </c>
      <c r="C396" s="1">
        <f>DATE(YEAR(Table1[[#This Row],[Sale_Date]]), MONTH(Table1[[#This Row],[Sale_Date]]), 1)</f>
        <v>45047</v>
      </c>
      <c r="D396" t="s">
        <v>38</v>
      </c>
      <c r="E396" t="s">
        <v>21</v>
      </c>
      <c r="F396" s="2">
        <v>6710.83</v>
      </c>
      <c r="G396">
        <v>2</v>
      </c>
      <c r="H396" t="s">
        <v>26</v>
      </c>
      <c r="I396" s="2">
        <v>3173.69</v>
      </c>
      <c r="J396" s="2">
        <v>3503.11</v>
      </c>
      <c r="K396" t="s">
        <v>30</v>
      </c>
      <c r="L396" s="5">
        <v>0.2</v>
      </c>
      <c r="M396" t="s">
        <v>27</v>
      </c>
      <c r="N396" t="s">
        <v>22</v>
      </c>
      <c r="O396" t="s">
        <v>41</v>
      </c>
      <c r="P396" s="4">
        <f t="shared" si="12"/>
        <v>5604.9760000000006</v>
      </c>
      <c r="Q396" s="4">
        <f t="shared" si="13"/>
        <v>-742.40399999999954</v>
      </c>
      <c r="R396" t="str">
        <f>IF( Table1[[#This Row],[Total Amount after sale]] &gt; 0,"PROFIT","LOSS")</f>
        <v>LOSS</v>
      </c>
      <c r="S396" s="3">
        <f>(Table1[[#This Row],[Total Amount after sale]]/Table1[[#This Row],[Price after discount]])</f>
        <v>-0.13245444761940095</v>
      </c>
    </row>
    <row r="397" spans="1:19" x14ac:dyDescent="0.3">
      <c r="A397">
        <v>1001</v>
      </c>
      <c r="B397" s="1">
        <v>45073</v>
      </c>
      <c r="C397" s="1">
        <f>DATE(YEAR(Table1[[#This Row],[Sale_Date]]), MONTH(Table1[[#This Row],[Sale_Date]]), 1)</f>
        <v>45047</v>
      </c>
      <c r="D397" t="s">
        <v>42</v>
      </c>
      <c r="E397" t="s">
        <v>25</v>
      </c>
      <c r="F397" s="2">
        <v>1498.11</v>
      </c>
      <c r="G397">
        <v>7</v>
      </c>
      <c r="H397" t="s">
        <v>35</v>
      </c>
      <c r="I397" s="2">
        <v>4094.68</v>
      </c>
      <c r="J397" s="2">
        <v>4576.5</v>
      </c>
      <c r="K397" t="s">
        <v>30</v>
      </c>
      <c r="L397" s="5">
        <v>0.3</v>
      </c>
      <c r="M397" t="s">
        <v>18</v>
      </c>
      <c r="N397" t="s">
        <v>22</v>
      </c>
      <c r="O397" t="s">
        <v>43</v>
      </c>
      <c r="P397" s="4">
        <f t="shared" si="12"/>
        <v>22424.85</v>
      </c>
      <c r="Q397" s="4">
        <f t="shared" si="13"/>
        <v>-6237.9100000000008</v>
      </c>
      <c r="R397" t="str">
        <f>IF( Table1[[#This Row],[Total Amount after sale]] &gt; 0,"PROFIT","LOSS")</f>
        <v>LOSS</v>
      </c>
      <c r="S397" s="3">
        <f>(Table1[[#This Row],[Total Amount after sale]]/Table1[[#This Row],[Price after discount]])</f>
        <v>-0.27816953067690536</v>
      </c>
    </row>
    <row r="398" spans="1:19" x14ac:dyDescent="0.3">
      <c r="A398">
        <v>1062</v>
      </c>
      <c r="B398" s="1">
        <v>45074</v>
      </c>
      <c r="C398" s="1">
        <f>DATE(YEAR(Table1[[#This Row],[Sale_Date]]), MONTH(Table1[[#This Row],[Sale_Date]]), 1)</f>
        <v>45047</v>
      </c>
      <c r="D398" t="s">
        <v>14</v>
      </c>
      <c r="E398" t="s">
        <v>25</v>
      </c>
      <c r="F398" s="2">
        <v>7567.22</v>
      </c>
      <c r="G398">
        <v>28</v>
      </c>
      <c r="H398" t="s">
        <v>35</v>
      </c>
      <c r="I398" s="2">
        <v>933.16</v>
      </c>
      <c r="J398" s="2">
        <v>1004.69999999999</v>
      </c>
      <c r="K398" t="s">
        <v>17</v>
      </c>
      <c r="L398" s="5">
        <v>0.18</v>
      </c>
      <c r="M398" t="s">
        <v>27</v>
      </c>
      <c r="N398" t="s">
        <v>19</v>
      </c>
      <c r="O398" t="s">
        <v>32</v>
      </c>
      <c r="P398" s="4">
        <f t="shared" si="12"/>
        <v>23067.911999999771</v>
      </c>
      <c r="Q398" s="4">
        <f t="shared" si="13"/>
        <v>-3060.5680000002271</v>
      </c>
      <c r="R398" t="str">
        <f>IF( Table1[[#This Row],[Total Amount after sale]] &gt; 0,"PROFIT","LOSS")</f>
        <v>LOSS</v>
      </c>
      <c r="S398" s="3">
        <f>(Table1[[#This Row],[Total Amount after sale]]/Table1[[#This Row],[Price after discount]])</f>
        <v>-0.13267642082214712</v>
      </c>
    </row>
    <row r="399" spans="1:19" x14ac:dyDescent="0.3">
      <c r="A399">
        <v>1050</v>
      </c>
      <c r="B399" s="1">
        <v>45074</v>
      </c>
      <c r="C399" s="1">
        <f>DATE(YEAR(Table1[[#This Row],[Sale_Date]]), MONTH(Table1[[#This Row],[Sale_Date]]), 1)</f>
        <v>45047</v>
      </c>
      <c r="D399" t="s">
        <v>42</v>
      </c>
      <c r="E399" t="s">
        <v>15</v>
      </c>
      <c r="F399" s="2">
        <v>8086.27</v>
      </c>
      <c r="G399">
        <v>6</v>
      </c>
      <c r="H399" t="s">
        <v>16</v>
      </c>
      <c r="I399" s="2">
        <v>3763.26</v>
      </c>
      <c r="J399" s="2">
        <v>4102.72</v>
      </c>
      <c r="K399" t="s">
        <v>30</v>
      </c>
      <c r="L399" s="5">
        <v>0.11</v>
      </c>
      <c r="M399" t="s">
        <v>31</v>
      </c>
      <c r="N399" t="s">
        <v>22</v>
      </c>
      <c r="O399" t="s">
        <v>49</v>
      </c>
      <c r="P399" s="4">
        <f t="shared" si="12"/>
        <v>21908.524800000003</v>
      </c>
      <c r="Q399" s="4">
        <f t="shared" si="13"/>
        <v>-671.03519999999935</v>
      </c>
      <c r="R399" t="str">
        <f>IF( Table1[[#This Row],[Total Amount after sale]] &gt; 0,"PROFIT","LOSS")</f>
        <v>LOSS</v>
      </c>
      <c r="S399" s="3">
        <f>(Table1[[#This Row],[Total Amount after sale]]/Table1[[#This Row],[Price after discount]])</f>
        <v>-3.0628954077273118E-2</v>
      </c>
    </row>
    <row r="400" spans="1:19" x14ac:dyDescent="0.3">
      <c r="A400">
        <v>1017</v>
      </c>
      <c r="B400" s="1">
        <v>45074</v>
      </c>
      <c r="C400" s="1">
        <f>DATE(YEAR(Table1[[#This Row],[Sale_Date]]), MONTH(Table1[[#This Row],[Sale_Date]]), 1)</f>
        <v>45047</v>
      </c>
      <c r="D400" t="s">
        <v>24</v>
      </c>
      <c r="E400" t="s">
        <v>34</v>
      </c>
      <c r="F400" s="2">
        <v>2222.62</v>
      </c>
      <c r="G400">
        <v>35</v>
      </c>
      <c r="H400" t="s">
        <v>35</v>
      </c>
      <c r="I400" s="2">
        <v>4867.6400000000003</v>
      </c>
      <c r="J400" s="2">
        <v>5287.05</v>
      </c>
      <c r="K400" t="s">
        <v>17</v>
      </c>
      <c r="L400" s="5">
        <v>0.28000000000000003</v>
      </c>
      <c r="M400" t="s">
        <v>31</v>
      </c>
      <c r="N400" t="s">
        <v>19</v>
      </c>
      <c r="O400" t="s">
        <v>50</v>
      </c>
      <c r="P400" s="4">
        <f t="shared" si="12"/>
        <v>133233.66</v>
      </c>
      <c r="Q400" s="4">
        <f t="shared" si="13"/>
        <v>-37133.740000000013</v>
      </c>
      <c r="R400" t="str">
        <f>IF( Table1[[#This Row],[Total Amount after sale]] &gt; 0,"PROFIT","LOSS")</f>
        <v>LOSS</v>
      </c>
      <c r="S400" s="3">
        <f>(Table1[[#This Row],[Total Amount after sale]]/Table1[[#This Row],[Price after discount]])</f>
        <v>-0.27871140070759903</v>
      </c>
    </row>
    <row r="401" spans="1:19" x14ac:dyDescent="0.3">
      <c r="A401">
        <v>1019</v>
      </c>
      <c r="B401" s="1">
        <v>45074</v>
      </c>
      <c r="C401" s="1">
        <f>DATE(YEAR(Table1[[#This Row],[Sale_Date]]), MONTH(Table1[[#This Row],[Sale_Date]]), 1)</f>
        <v>45047</v>
      </c>
      <c r="D401" t="s">
        <v>42</v>
      </c>
      <c r="E401" t="s">
        <v>34</v>
      </c>
      <c r="F401" s="2">
        <v>6917.45</v>
      </c>
      <c r="G401">
        <v>28</v>
      </c>
      <c r="H401" t="s">
        <v>16</v>
      </c>
      <c r="I401" s="2">
        <v>3907.86</v>
      </c>
      <c r="J401" s="2">
        <v>4205.37</v>
      </c>
      <c r="K401" t="s">
        <v>30</v>
      </c>
      <c r="L401" s="5">
        <v>0.09</v>
      </c>
      <c r="M401" t="s">
        <v>31</v>
      </c>
      <c r="N401" t="s">
        <v>19</v>
      </c>
      <c r="O401" t="s">
        <v>52</v>
      </c>
      <c r="P401" s="4">
        <f t="shared" si="12"/>
        <v>107152.8276</v>
      </c>
      <c r="Q401" s="4">
        <f t="shared" si="13"/>
        <v>-2267.252400000003</v>
      </c>
      <c r="R401" t="str">
        <f>IF( Table1[[#This Row],[Total Amount after sale]] &gt; 0,"PROFIT","LOSS")</f>
        <v>LOSS</v>
      </c>
      <c r="S401" s="3">
        <f>(Table1[[#This Row],[Total Amount after sale]]/Table1[[#This Row],[Price after discount]])</f>
        <v>-2.115905338927335E-2</v>
      </c>
    </row>
    <row r="402" spans="1:19" x14ac:dyDescent="0.3">
      <c r="A402">
        <v>1006</v>
      </c>
      <c r="B402" s="1">
        <v>45074</v>
      </c>
      <c r="C402" s="1">
        <f>DATE(YEAR(Table1[[#This Row],[Sale_Date]]), MONTH(Table1[[#This Row],[Sale_Date]]), 1)</f>
        <v>45047</v>
      </c>
      <c r="D402" t="s">
        <v>14</v>
      </c>
      <c r="E402" t="s">
        <v>15</v>
      </c>
      <c r="F402" s="2">
        <v>8109.33</v>
      </c>
      <c r="G402">
        <v>11</v>
      </c>
      <c r="H402" t="s">
        <v>26</v>
      </c>
      <c r="I402" s="2">
        <v>4562.58</v>
      </c>
      <c r="J402" s="2">
        <v>4925.17</v>
      </c>
      <c r="K402" t="s">
        <v>30</v>
      </c>
      <c r="L402" s="5">
        <v>0.23</v>
      </c>
      <c r="M402" t="s">
        <v>18</v>
      </c>
      <c r="N402" t="s">
        <v>22</v>
      </c>
      <c r="O402" t="s">
        <v>20</v>
      </c>
      <c r="P402" s="4">
        <f t="shared" si="12"/>
        <v>41716.189899999998</v>
      </c>
      <c r="Q402" s="4">
        <f t="shared" si="13"/>
        <v>-8472.190099999998</v>
      </c>
      <c r="R402" t="str">
        <f>IF( Table1[[#This Row],[Total Amount after sale]] &gt; 0,"PROFIT","LOSS")</f>
        <v>LOSS</v>
      </c>
      <c r="S402" s="3">
        <f>(Table1[[#This Row],[Total Amount after sale]]/Table1[[#This Row],[Price after discount]])</f>
        <v>-0.20309117683827588</v>
      </c>
    </row>
    <row r="403" spans="1:19" x14ac:dyDescent="0.3">
      <c r="A403">
        <v>1055</v>
      </c>
      <c r="B403" s="1">
        <v>45075</v>
      </c>
      <c r="C403" s="1">
        <f>DATE(YEAR(Table1[[#This Row],[Sale_Date]]), MONTH(Table1[[#This Row],[Sale_Date]]), 1)</f>
        <v>45047</v>
      </c>
      <c r="D403" t="s">
        <v>38</v>
      </c>
      <c r="E403" t="s">
        <v>15</v>
      </c>
      <c r="F403" s="2">
        <v>4153.18</v>
      </c>
      <c r="G403">
        <v>40</v>
      </c>
      <c r="H403" t="s">
        <v>16</v>
      </c>
      <c r="I403" s="2">
        <v>959.73</v>
      </c>
      <c r="J403" s="2">
        <v>1111.4100000000001</v>
      </c>
      <c r="K403" t="s">
        <v>30</v>
      </c>
      <c r="L403" s="5">
        <v>0.23</v>
      </c>
      <c r="M403" t="s">
        <v>27</v>
      </c>
      <c r="N403" t="s">
        <v>19</v>
      </c>
      <c r="O403" t="s">
        <v>40</v>
      </c>
      <c r="P403" s="4">
        <f t="shared" si="12"/>
        <v>34231.428000000007</v>
      </c>
      <c r="Q403" s="4">
        <f t="shared" si="13"/>
        <v>-4157.7719999999954</v>
      </c>
      <c r="R403" t="str">
        <f>IF( Table1[[#This Row],[Total Amount after sale]] &gt; 0,"PROFIT","LOSS")</f>
        <v>LOSS</v>
      </c>
      <c r="S403" s="3">
        <f>(Table1[[#This Row],[Total Amount after sale]]/Table1[[#This Row],[Price after discount]])</f>
        <v>-0.12146066474352149</v>
      </c>
    </row>
    <row r="404" spans="1:19" x14ac:dyDescent="0.3">
      <c r="A404">
        <v>1070</v>
      </c>
      <c r="B404" s="1">
        <v>45075</v>
      </c>
      <c r="C404" s="1">
        <f>DATE(YEAR(Table1[[#This Row],[Sale_Date]]), MONTH(Table1[[#This Row],[Sale_Date]]), 1)</f>
        <v>45047</v>
      </c>
      <c r="D404" t="s">
        <v>33</v>
      </c>
      <c r="E404" t="s">
        <v>25</v>
      </c>
      <c r="F404" s="2">
        <v>1108.74</v>
      </c>
      <c r="G404">
        <v>14</v>
      </c>
      <c r="H404" t="s">
        <v>16</v>
      </c>
      <c r="I404" s="2">
        <v>3796.79</v>
      </c>
      <c r="J404" s="2">
        <v>3947.5</v>
      </c>
      <c r="K404" t="s">
        <v>17</v>
      </c>
      <c r="L404" s="5">
        <v>0.24</v>
      </c>
      <c r="M404" t="s">
        <v>27</v>
      </c>
      <c r="N404" t="s">
        <v>19</v>
      </c>
      <c r="O404" t="s">
        <v>44</v>
      </c>
      <c r="P404" s="4">
        <f t="shared" si="12"/>
        <v>42001.4</v>
      </c>
      <c r="Q404" s="4">
        <f t="shared" si="13"/>
        <v>-11153.66</v>
      </c>
      <c r="R404" t="str">
        <f>IF( Table1[[#This Row],[Total Amount after sale]] &gt; 0,"PROFIT","LOSS")</f>
        <v>LOSS</v>
      </c>
      <c r="S404" s="3">
        <f>(Table1[[#This Row],[Total Amount after sale]]/Table1[[#This Row],[Price after discount]])</f>
        <v>-0.26555448151728273</v>
      </c>
    </row>
    <row r="405" spans="1:19" x14ac:dyDescent="0.3">
      <c r="A405">
        <v>1069</v>
      </c>
      <c r="B405" s="1">
        <v>45075</v>
      </c>
      <c r="C405" s="1">
        <f>DATE(YEAR(Table1[[#This Row],[Sale_Date]]), MONTH(Table1[[#This Row],[Sale_Date]]), 1)</f>
        <v>45047</v>
      </c>
      <c r="D405" t="s">
        <v>42</v>
      </c>
      <c r="E405" t="s">
        <v>15</v>
      </c>
      <c r="F405" s="2">
        <v>4494.8</v>
      </c>
      <c r="G405">
        <v>30</v>
      </c>
      <c r="H405" t="s">
        <v>35</v>
      </c>
      <c r="I405" s="2">
        <v>300.01</v>
      </c>
      <c r="J405" s="2">
        <v>477.67999999999898</v>
      </c>
      <c r="K405" t="s">
        <v>30</v>
      </c>
      <c r="L405" s="5">
        <v>0.11</v>
      </c>
      <c r="M405" t="s">
        <v>27</v>
      </c>
      <c r="N405" t="s">
        <v>22</v>
      </c>
      <c r="O405" t="s">
        <v>49</v>
      </c>
      <c r="P405" s="4">
        <f t="shared" si="12"/>
        <v>12754.055999999973</v>
      </c>
      <c r="Q405" s="4">
        <f t="shared" si="13"/>
        <v>3753.755999999973</v>
      </c>
      <c r="R405" t="str">
        <f>IF( Table1[[#This Row],[Total Amount after sale]] &gt; 0,"PROFIT","LOSS")</f>
        <v>PROFIT</v>
      </c>
      <c r="S405" s="3">
        <f>(Table1[[#This Row],[Total Amount after sale]]/Table1[[#This Row],[Price after discount]])</f>
        <v>0.29431860735125992</v>
      </c>
    </row>
    <row r="406" spans="1:19" x14ac:dyDescent="0.3">
      <c r="A406">
        <v>1002</v>
      </c>
      <c r="B406" s="1">
        <v>45076</v>
      </c>
      <c r="C406" s="1">
        <f>DATE(YEAR(Table1[[#This Row],[Sale_Date]]), MONTH(Table1[[#This Row],[Sale_Date]]), 1)</f>
        <v>45047</v>
      </c>
      <c r="D406" t="s">
        <v>24</v>
      </c>
      <c r="E406" t="s">
        <v>15</v>
      </c>
      <c r="F406" s="2">
        <v>6810.35</v>
      </c>
      <c r="G406">
        <v>17</v>
      </c>
      <c r="H406" t="s">
        <v>16</v>
      </c>
      <c r="I406" s="2">
        <v>4024.76</v>
      </c>
      <c r="J406" s="2">
        <v>4420.1499999999996</v>
      </c>
      <c r="K406" t="s">
        <v>17</v>
      </c>
      <c r="L406" s="5">
        <v>0.04</v>
      </c>
      <c r="M406" t="s">
        <v>18</v>
      </c>
      <c r="N406" t="s">
        <v>19</v>
      </c>
      <c r="O406" t="s">
        <v>45</v>
      </c>
      <c r="P406" s="4">
        <f t="shared" si="12"/>
        <v>72136.847999999984</v>
      </c>
      <c r="Q406" s="4">
        <f t="shared" si="13"/>
        <v>3715.9279999999817</v>
      </c>
      <c r="R406" t="str">
        <f>IF( Table1[[#This Row],[Total Amount after sale]] &gt; 0,"PROFIT","LOSS")</f>
        <v>PROFIT</v>
      </c>
      <c r="S406" s="3">
        <f>(Table1[[#This Row],[Total Amount after sale]]/Table1[[#This Row],[Price after discount]])</f>
        <v>5.1512203582834426E-2</v>
      </c>
    </row>
    <row r="407" spans="1:19" x14ac:dyDescent="0.3">
      <c r="A407">
        <v>1040</v>
      </c>
      <c r="B407" s="1">
        <v>45076</v>
      </c>
      <c r="C407" s="1">
        <f>DATE(YEAR(Table1[[#This Row],[Sale_Date]]), MONTH(Table1[[#This Row],[Sale_Date]]), 1)</f>
        <v>45047</v>
      </c>
      <c r="D407" t="s">
        <v>42</v>
      </c>
      <c r="E407" t="s">
        <v>25</v>
      </c>
      <c r="F407" s="2">
        <v>4284.03</v>
      </c>
      <c r="G407">
        <v>47</v>
      </c>
      <c r="H407" t="s">
        <v>29</v>
      </c>
      <c r="I407" s="2">
        <v>1656.82</v>
      </c>
      <c r="J407" s="2">
        <v>1750.3799999999901</v>
      </c>
      <c r="K407" t="s">
        <v>30</v>
      </c>
      <c r="L407" s="5">
        <v>0.21</v>
      </c>
      <c r="M407" t="s">
        <v>31</v>
      </c>
      <c r="N407" t="s">
        <v>19</v>
      </c>
      <c r="O407" t="s">
        <v>43</v>
      </c>
      <c r="P407" s="4">
        <f t="shared" si="12"/>
        <v>64991.60939999963</v>
      </c>
      <c r="Q407" s="4">
        <f t="shared" si="13"/>
        <v>-12878.930600000365</v>
      </c>
      <c r="R407" t="str">
        <f>IF( Table1[[#This Row],[Total Amount after sale]] &gt; 0,"PROFIT","LOSS")</f>
        <v>LOSS</v>
      </c>
      <c r="S407" s="3">
        <f>(Table1[[#This Row],[Total Amount after sale]]/Table1[[#This Row],[Price after discount]])</f>
        <v>-0.19816297394230153</v>
      </c>
    </row>
    <row r="408" spans="1:19" x14ac:dyDescent="0.3">
      <c r="A408">
        <v>1002</v>
      </c>
      <c r="B408" s="1">
        <v>45076</v>
      </c>
      <c r="C408" s="1">
        <f>DATE(YEAR(Table1[[#This Row],[Sale_Date]]), MONTH(Table1[[#This Row],[Sale_Date]]), 1)</f>
        <v>45047</v>
      </c>
      <c r="D408" t="s">
        <v>38</v>
      </c>
      <c r="E408" t="s">
        <v>15</v>
      </c>
      <c r="F408" s="2">
        <v>3737.17</v>
      </c>
      <c r="G408">
        <v>44</v>
      </c>
      <c r="H408" t="s">
        <v>16</v>
      </c>
      <c r="I408" s="2">
        <v>1393.58</v>
      </c>
      <c r="J408" s="2">
        <v>1533.09</v>
      </c>
      <c r="K408" t="s">
        <v>17</v>
      </c>
      <c r="L408" s="5">
        <v>0.24</v>
      </c>
      <c r="M408" t="s">
        <v>31</v>
      </c>
      <c r="N408" t="s">
        <v>22</v>
      </c>
      <c r="O408" t="s">
        <v>40</v>
      </c>
      <c r="P408" s="4">
        <f t="shared" si="12"/>
        <v>51266.529600000002</v>
      </c>
      <c r="Q408" s="4">
        <f t="shared" si="13"/>
        <v>-10050.990399999995</v>
      </c>
      <c r="R408" t="str">
        <f>IF( Table1[[#This Row],[Total Amount after sale]] &gt; 0,"PROFIT","LOSS")</f>
        <v>LOSS</v>
      </c>
      <c r="S408" s="3">
        <f>(Table1[[#This Row],[Total Amount after sale]]/Table1[[#This Row],[Price after discount]])</f>
        <v>-0.1960536529080758</v>
      </c>
    </row>
    <row r="409" spans="1:19" x14ac:dyDescent="0.3">
      <c r="A409">
        <v>1064</v>
      </c>
      <c r="B409" s="1">
        <v>45077</v>
      </c>
      <c r="C409" s="1">
        <f>DATE(YEAR(Table1[[#This Row],[Sale_Date]]), MONTH(Table1[[#This Row],[Sale_Date]]), 1)</f>
        <v>45047</v>
      </c>
      <c r="D409" t="s">
        <v>24</v>
      </c>
      <c r="E409" t="s">
        <v>25</v>
      </c>
      <c r="F409" s="2">
        <v>2579.63</v>
      </c>
      <c r="G409">
        <v>8</v>
      </c>
      <c r="H409" t="s">
        <v>29</v>
      </c>
      <c r="I409" s="2">
        <v>816.54</v>
      </c>
      <c r="J409" s="2">
        <v>1191.9000000000001</v>
      </c>
      <c r="K409" t="s">
        <v>30</v>
      </c>
      <c r="L409" s="5">
        <v>0.03</v>
      </c>
      <c r="M409" t="s">
        <v>18</v>
      </c>
      <c r="N409" t="s">
        <v>22</v>
      </c>
      <c r="O409" t="s">
        <v>28</v>
      </c>
      <c r="P409" s="4">
        <f t="shared" si="12"/>
        <v>9249.1440000000002</v>
      </c>
      <c r="Q409" s="4">
        <f t="shared" si="13"/>
        <v>2716.8240000000005</v>
      </c>
      <c r="R409" t="str">
        <f>IF( Table1[[#This Row],[Total Amount after sale]] &gt; 0,"PROFIT","LOSS")</f>
        <v>PROFIT</v>
      </c>
      <c r="S409" s="3">
        <f>(Table1[[#This Row],[Total Amount after sale]]/Table1[[#This Row],[Price after discount]])</f>
        <v>0.29373788536539169</v>
      </c>
    </row>
    <row r="410" spans="1:19" x14ac:dyDescent="0.3">
      <c r="A410">
        <v>1022</v>
      </c>
      <c r="B410" s="1">
        <v>45078</v>
      </c>
      <c r="C410" s="1">
        <f>DATE(YEAR(Table1[[#This Row],[Sale_Date]]), MONTH(Table1[[#This Row],[Sale_Date]]), 1)</f>
        <v>45078</v>
      </c>
      <c r="D410" t="s">
        <v>24</v>
      </c>
      <c r="E410" t="s">
        <v>34</v>
      </c>
      <c r="F410" s="2">
        <v>8913.1299999999992</v>
      </c>
      <c r="G410">
        <v>9</v>
      </c>
      <c r="H410" t="s">
        <v>35</v>
      </c>
      <c r="I410" s="2">
        <v>2263.65</v>
      </c>
      <c r="J410" s="2">
        <v>2558.9499999999998</v>
      </c>
      <c r="K410" t="s">
        <v>30</v>
      </c>
      <c r="L410" s="5">
        <v>0.03</v>
      </c>
      <c r="M410" t="s">
        <v>18</v>
      </c>
      <c r="N410" t="s">
        <v>19</v>
      </c>
      <c r="O410" t="s">
        <v>50</v>
      </c>
      <c r="P410" s="4">
        <f t="shared" si="12"/>
        <v>22339.633499999996</v>
      </c>
      <c r="Q410" s="4">
        <f t="shared" si="13"/>
        <v>1966.7834999999964</v>
      </c>
      <c r="R410" t="str">
        <f>IF( Table1[[#This Row],[Total Amount after sale]] &gt; 0,"PROFIT","LOSS")</f>
        <v>PROFIT</v>
      </c>
      <c r="S410" s="3">
        <f>(Table1[[#This Row],[Total Amount after sale]]/Table1[[#This Row],[Price after discount]])</f>
        <v>8.8040096987266905E-2</v>
      </c>
    </row>
    <row r="411" spans="1:19" x14ac:dyDescent="0.3">
      <c r="A411">
        <v>1019</v>
      </c>
      <c r="B411" s="1">
        <v>45078</v>
      </c>
      <c r="C411" s="1">
        <f>DATE(YEAR(Table1[[#This Row],[Sale_Date]]), MONTH(Table1[[#This Row],[Sale_Date]]), 1)</f>
        <v>45078</v>
      </c>
      <c r="D411" t="s">
        <v>14</v>
      </c>
      <c r="E411" t="s">
        <v>34</v>
      </c>
      <c r="F411" s="2">
        <v>3109.03</v>
      </c>
      <c r="G411">
        <v>38</v>
      </c>
      <c r="H411" t="s">
        <v>29</v>
      </c>
      <c r="I411" s="2">
        <v>3637.25</v>
      </c>
      <c r="J411" s="2">
        <v>4096.96</v>
      </c>
      <c r="K411" t="s">
        <v>17</v>
      </c>
      <c r="L411" s="5">
        <v>0.09</v>
      </c>
      <c r="M411" t="s">
        <v>27</v>
      </c>
      <c r="N411" t="s">
        <v>19</v>
      </c>
      <c r="O411" t="s">
        <v>46</v>
      </c>
      <c r="P411" s="4">
        <f t="shared" si="12"/>
        <v>141672.8768</v>
      </c>
      <c r="Q411" s="4">
        <f t="shared" si="13"/>
        <v>3457.3768000000009</v>
      </c>
      <c r="R411" t="str">
        <f>IF( Table1[[#This Row],[Total Amount after sale]] &gt; 0,"PROFIT","LOSS")</f>
        <v>PROFIT</v>
      </c>
      <c r="S411" s="3">
        <f>(Table1[[#This Row],[Total Amount after sale]]/Table1[[#This Row],[Price after discount]])</f>
        <v>2.4403942928898026E-2</v>
      </c>
    </row>
    <row r="412" spans="1:19" x14ac:dyDescent="0.3">
      <c r="A412">
        <v>1099</v>
      </c>
      <c r="B412" s="1">
        <v>45078</v>
      </c>
      <c r="C412" s="1">
        <f>DATE(YEAR(Table1[[#This Row],[Sale_Date]]), MONTH(Table1[[#This Row],[Sale_Date]]), 1)</f>
        <v>45078</v>
      </c>
      <c r="D412" t="s">
        <v>42</v>
      </c>
      <c r="E412" t="s">
        <v>25</v>
      </c>
      <c r="F412" s="2">
        <v>2496.02</v>
      </c>
      <c r="G412">
        <v>2</v>
      </c>
      <c r="H412" t="s">
        <v>35</v>
      </c>
      <c r="I412" s="2">
        <v>2038.4</v>
      </c>
      <c r="J412" s="2">
        <v>2073.3200000000002</v>
      </c>
      <c r="K412" t="s">
        <v>30</v>
      </c>
      <c r="L412" s="5">
        <v>0.16</v>
      </c>
      <c r="M412" t="s">
        <v>18</v>
      </c>
      <c r="N412" t="s">
        <v>22</v>
      </c>
      <c r="O412" t="s">
        <v>43</v>
      </c>
      <c r="P412" s="4">
        <f t="shared" si="12"/>
        <v>3483.1776</v>
      </c>
      <c r="Q412" s="4">
        <f t="shared" si="13"/>
        <v>-593.6224000000002</v>
      </c>
      <c r="R412" t="str">
        <f>IF( Table1[[#This Row],[Total Amount after sale]] &gt; 0,"PROFIT","LOSS")</f>
        <v>LOSS</v>
      </c>
      <c r="S412" s="3">
        <f>(Table1[[#This Row],[Total Amount after sale]]/Table1[[#This Row],[Price after discount]])</f>
        <v>-0.17042553328317231</v>
      </c>
    </row>
    <row r="413" spans="1:19" x14ac:dyDescent="0.3">
      <c r="A413">
        <v>1050</v>
      </c>
      <c r="B413" s="1">
        <v>45078</v>
      </c>
      <c r="C413" s="1">
        <f>DATE(YEAR(Table1[[#This Row],[Sale_Date]]), MONTH(Table1[[#This Row],[Sale_Date]]), 1)</f>
        <v>45078</v>
      </c>
      <c r="D413" t="s">
        <v>14</v>
      </c>
      <c r="E413" t="s">
        <v>25</v>
      </c>
      <c r="F413" s="2">
        <v>5105.78</v>
      </c>
      <c r="G413">
        <v>23</v>
      </c>
      <c r="H413" t="s">
        <v>16</v>
      </c>
      <c r="I413" s="2">
        <v>3756.06</v>
      </c>
      <c r="J413" s="2">
        <v>4255.7299999999996</v>
      </c>
      <c r="K413" t="s">
        <v>17</v>
      </c>
      <c r="L413" s="5">
        <v>0.04</v>
      </c>
      <c r="M413" t="s">
        <v>18</v>
      </c>
      <c r="N413" t="s">
        <v>19</v>
      </c>
      <c r="O413" t="s">
        <v>32</v>
      </c>
      <c r="P413" s="4">
        <f t="shared" si="12"/>
        <v>93966.518399999986</v>
      </c>
      <c r="Q413" s="4">
        <f t="shared" si="13"/>
        <v>7577.1383999999862</v>
      </c>
      <c r="R413" t="str">
        <f>IF( Table1[[#This Row],[Total Amount after sale]] &gt; 0,"PROFIT","LOSS")</f>
        <v>PROFIT</v>
      </c>
      <c r="S413" s="3">
        <f>(Table1[[#This Row],[Total Amount after sale]]/Table1[[#This Row],[Price after discount]])</f>
        <v>8.0636577038486798E-2</v>
      </c>
    </row>
    <row r="414" spans="1:19" x14ac:dyDescent="0.3">
      <c r="A414">
        <v>1013</v>
      </c>
      <c r="B414" s="1">
        <v>45078</v>
      </c>
      <c r="C414" s="1">
        <f>DATE(YEAR(Table1[[#This Row],[Sale_Date]]), MONTH(Table1[[#This Row],[Sale_Date]]), 1)</f>
        <v>45078</v>
      </c>
      <c r="D414" t="s">
        <v>33</v>
      </c>
      <c r="E414" t="s">
        <v>34</v>
      </c>
      <c r="F414" s="2">
        <v>2985.46</v>
      </c>
      <c r="G414">
        <v>16</v>
      </c>
      <c r="H414" t="s">
        <v>16</v>
      </c>
      <c r="I414" s="2">
        <v>1222.1500000000001</v>
      </c>
      <c r="J414" s="2">
        <v>1284.3599999999999</v>
      </c>
      <c r="K414" t="s">
        <v>17</v>
      </c>
      <c r="L414" s="5">
        <v>0.03</v>
      </c>
      <c r="M414" t="s">
        <v>31</v>
      </c>
      <c r="N414" t="s">
        <v>22</v>
      </c>
      <c r="O414" t="s">
        <v>36</v>
      </c>
      <c r="P414" s="4">
        <f t="shared" si="12"/>
        <v>19933.267199999998</v>
      </c>
      <c r="Q414" s="4">
        <f t="shared" si="13"/>
        <v>378.86719999999696</v>
      </c>
      <c r="R414" t="str">
        <f>IF( Table1[[#This Row],[Total Amount after sale]] &gt; 0,"PROFIT","LOSS")</f>
        <v>PROFIT</v>
      </c>
      <c r="S414" s="3">
        <f>(Table1[[#This Row],[Total Amount after sale]]/Table1[[#This Row],[Price after discount]])</f>
        <v>1.9006778778342819E-2</v>
      </c>
    </row>
    <row r="415" spans="1:19" x14ac:dyDescent="0.3">
      <c r="A415">
        <v>1086</v>
      </c>
      <c r="B415" s="1">
        <v>45079</v>
      </c>
      <c r="C415" s="1">
        <f>DATE(YEAR(Table1[[#This Row],[Sale_Date]]), MONTH(Table1[[#This Row],[Sale_Date]]), 1)</f>
        <v>45078</v>
      </c>
      <c r="D415" t="s">
        <v>14</v>
      </c>
      <c r="E415" t="s">
        <v>34</v>
      </c>
      <c r="F415" s="2">
        <v>2495.5700000000002</v>
      </c>
      <c r="G415">
        <v>3</v>
      </c>
      <c r="H415" t="s">
        <v>35</v>
      </c>
      <c r="I415" s="2">
        <v>1595.35</v>
      </c>
      <c r="J415" s="2">
        <v>1625.70999999999</v>
      </c>
      <c r="K415" t="s">
        <v>30</v>
      </c>
      <c r="L415" s="5">
        <v>0.27</v>
      </c>
      <c r="M415" t="s">
        <v>18</v>
      </c>
      <c r="N415" t="s">
        <v>19</v>
      </c>
      <c r="O415" t="s">
        <v>46</v>
      </c>
      <c r="P415" s="4">
        <f t="shared" si="12"/>
        <v>3560.3048999999783</v>
      </c>
      <c r="Q415" s="4">
        <f t="shared" si="13"/>
        <v>-1225.7451000000217</v>
      </c>
      <c r="R415" t="str">
        <f>IF( Table1[[#This Row],[Total Amount after sale]] &gt; 0,"PROFIT","LOSS")</f>
        <v>LOSS</v>
      </c>
      <c r="S415" s="3">
        <f>(Table1[[#This Row],[Total Amount after sale]]/Table1[[#This Row],[Price after discount]])</f>
        <v>-0.34428093504015039</v>
      </c>
    </row>
    <row r="416" spans="1:19" x14ac:dyDescent="0.3">
      <c r="A416">
        <v>1057</v>
      </c>
      <c r="B416" s="1">
        <v>45079</v>
      </c>
      <c r="C416" s="1">
        <f>DATE(YEAR(Table1[[#This Row],[Sale_Date]]), MONTH(Table1[[#This Row],[Sale_Date]]), 1)</f>
        <v>45078</v>
      </c>
      <c r="D416" t="s">
        <v>14</v>
      </c>
      <c r="E416" t="s">
        <v>25</v>
      </c>
      <c r="F416" s="2">
        <v>9653.65</v>
      </c>
      <c r="G416">
        <v>12</v>
      </c>
      <c r="H416" t="s">
        <v>35</v>
      </c>
      <c r="I416" s="2">
        <v>1878.3</v>
      </c>
      <c r="J416" s="2">
        <v>2087.4499999999998</v>
      </c>
      <c r="K416" t="s">
        <v>30</v>
      </c>
      <c r="L416" s="5">
        <v>0.05</v>
      </c>
      <c r="M416" t="s">
        <v>27</v>
      </c>
      <c r="N416" t="s">
        <v>22</v>
      </c>
      <c r="O416" t="s">
        <v>32</v>
      </c>
      <c r="P416" s="4">
        <f t="shared" si="12"/>
        <v>23796.929999999997</v>
      </c>
      <c r="Q416" s="4">
        <f t="shared" si="13"/>
        <v>1257.3299999999963</v>
      </c>
      <c r="R416" t="str">
        <f>IF( Table1[[#This Row],[Total Amount after sale]] &gt; 0,"PROFIT","LOSS")</f>
        <v>PROFIT</v>
      </c>
      <c r="S416" s="3">
        <f>(Table1[[#This Row],[Total Amount after sale]]/Table1[[#This Row],[Price after discount]])</f>
        <v>5.2835806971739487E-2</v>
      </c>
    </row>
    <row r="417" spans="1:19" x14ac:dyDescent="0.3">
      <c r="A417">
        <v>1024</v>
      </c>
      <c r="B417" s="1">
        <v>45079</v>
      </c>
      <c r="C417" s="1">
        <f>DATE(YEAR(Table1[[#This Row],[Sale_Date]]), MONTH(Table1[[#This Row],[Sale_Date]]), 1)</f>
        <v>45078</v>
      </c>
      <c r="D417" t="s">
        <v>42</v>
      </c>
      <c r="E417" t="s">
        <v>21</v>
      </c>
      <c r="F417" s="2">
        <v>1799.77</v>
      </c>
      <c r="G417">
        <v>2</v>
      </c>
      <c r="H417" t="s">
        <v>16</v>
      </c>
      <c r="I417" s="2">
        <v>3604.93</v>
      </c>
      <c r="J417" s="2">
        <v>3830.71</v>
      </c>
      <c r="K417" t="s">
        <v>17</v>
      </c>
      <c r="L417" s="5">
        <v>0.12</v>
      </c>
      <c r="M417" t="s">
        <v>31</v>
      </c>
      <c r="N417" t="s">
        <v>19</v>
      </c>
      <c r="O417" t="s">
        <v>51</v>
      </c>
      <c r="P417" s="4">
        <f t="shared" si="12"/>
        <v>6742.0496000000003</v>
      </c>
      <c r="Q417" s="4">
        <f t="shared" si="13"/>
        <v>-467.81039999999939</v>
      </c>
      <c r="R417" t="str">
        <f>IF( Table1[[#This Row],[Total Amount after sale]] &gt; 0,"PROFIT","LOSS")</f>
        <v>LOSS</v>
      </c>
      <c r="S417" s="3">
        <f>(Table1[[#This Row],[Total Amount after sale]]/Table1[[#This Row],[Price after discount]])</f>
        <v>-6.9386970988762731E-2</v>
      </c>
    </row>
    <row r="418" spans="1:19" x14ac:dyDescent="0.3">
      <c r="A418">
        <v>1059</v>
      </c>
      <c r="B418" s="1">
        <v>45079</v>
      </c>
      <c r="C418" s="1">
        <f>DATE(YEAR(Table1[[#This Row],[Sale_Date]]), MONTH(Table1[[#This Row],[Sale_Date]]), 1)</f>
        <v>45078</v>
      </c>
      <c r="D418" t="s">
        <v>14</v>
      </c>
      <c r="E418" t="s">
        <v>21</v>
      </c>
      <c r="F418" s="2">
        <v>279.43</v>
      </c>
      <c r="G418">
        <v>47</v>
      </c>
      <c r="H418" t="s">
        <v>16</v>
      </c>
      <c r="I418" s="2">
        <v>287.17</v>
      </c>
      <c r="J418" s="2">
        <v>657.44</v>
      </c>
      <c r="K418" t="s">
        <v>17</v>
      </c>
      <c r="L418" s="5">
        <v>0.14000000000000001</v>
      </c>
      <c r="M418" t="s">
        <v>31</v>
      </c>
      <c r="N418" t="s">
        <v>22</v>
      </c>
      <c r="O418" t="s">
        <v>23</v>
      </c>
      <c r="P418" s="4">
        <f t="shared" si="12"/>
        <v>26573.724800000004</v>
      </c>
      <c r="Q418" s="4">
        <f t="shared" si="13"/>
        <v>13076.7348</v>
      </c>
      <c r="R418" t="str">
        <f>IF( Table1[[#This Row],[Total Amount after sale]] &gt; 0,"PROFIT","LOSS")</f>
        <v>PROFIT</v>
      </c>
      <c r="S418" s="3">
        <f>(Table1[[#This Row],[Total Amount after sale]]/Table1[[#This Row],[Price after discount]])</f>
        <v>0.49209265537362673</v>
      </c>
    </row>
    <row r="419" spans="1:19" x14ac:dyDescent="0.3">
      <c r="A419">
        <v>1057</v>
      </c>
      <c r="B419" s="1">
        <v>45079</v>
      </c>
      <c r="C419" s="1">
        <f>DATE(YEAR(Table1[[#This Row],[Sale_Date]]), MONTH(Table1[[#This Row],[Sale_Date]]), 1)</f>
        <v>45078</v>
      </c>
      <c r="D419" t="s">
        <v>38</v>
      </c>
      <c r="E419" t="s">
        <v>34</v>
      </c>
      <c r="F419" s="2">
        <v>2046.87</v>
      </c>
      <c r="G419">
        <v>22</v>
      </c>
      <c r="H419" t="s">
        <v>26</v>
      </c>
      <c r="I419" s="2">
        <v>3462.61</v>
      </c>
      <c r="J419" s="2">
        <v>3672.89</v>
      </c>
      <c r="K419" t="s">
        <v>17</v>
      </c>
      <c r="L419" s="5">
        <v>0.27</v>
      </c>
      <c r="M419" t="s">
        <v>31</v>
      </c>
      <c r="N419" t="s">
        <v>19</v>
      </c>
      <c r="O419" t="s">
        <v>48</v>
      </c>
      <c r="P419" s="4">
        <f t="shared" si="12"/>
        <v>58986.613399999995</v>
      </c>
      <c r="Q419" s="4">
        <f t="shared" si="13"/>
        <v>-17190.806600000004</v>
      </c>
      <c r="R419" t="str">
        <f>IF( Table1[[#This Row],[Total Amount after sale]] &gt; 0,"PROFIT","LOSS")</f>
        <v>LOSS</v>
      </c>
      <c r="S419" s="3">
        <f>(Table1[[#This Row],[Total Amount after sale]]/Table1[[#This Row],[Price after discount]])</f>
        <v>-0.29143572768664838</v>
      </c>
    </row>
    <row r="420" spans="1:19" x14ac:dyDescent="0.3">
      <c r="A420">
        <v>1069</v>
      </c>
      <c r="B420" s="1">
        <v>45080</v>
      </c>
      <c r="C420" s="1">
        <f>DATE(YEAR(Table1[[#This Row],[Sale_Date]]), MONTH(Table1[[#This Row],[Sale_Date]]), 1)</f>
        <v>45078</v>
      </c>
      <c r="D420" t="s">
        <v>24</v>
      </c>
      <c r="E420" t="s">
        <v>21</v>
      </c>
      <c r="F420" s="2">
        <v>6581.04</v>
      </c>
      <c r="G420">
        <v>42</v>
      </c>
      <c r="H420" t="s">
        <v>29</v>
      </c>
      <c r="I420" s="2">
        <v>1434.2</v>
      </c>
      <c r="J420" s="2">
        <v>1482.88</v>
      </c>
      <c r="K420" t="s">
        <v>30</v>
      </c>
      <c r="L420" s="5">
        <v>0.28000000000000003</v>
      </c>
      <c r="M420" t="s">
        <v>31</v>
      </c>
      <c r="N420" t="s">
        <v>22</v>
      </c>
      <c r="O420" t="s">
        <v>47</v>
      </c>
      <c r="P420" s="4">
        <f t="shared" si="12"/>
        <v>44842.291200000007</v>
      </c>
      <c r="Q420" s="4">
        <f t="shared" si="13"/>
        <v>-15394.108799999998</v>
      </c>
      <c r="R420" t="str">
        <f>IF( Table1[[#This Row],[Total Amount after sale]] &gt; 0,"PROFIT","LOSS")</f>
        <v>LOSS</v>
      </c>
      <c r="S420" s="3">
        <f>(Table1[[#This Row],[Total Amount after sale]]/Table1[[#This Row],[Price after discount]])</f>
        <v>-0.34329443005802512</v>
      </c>
    </row>
    <row r="421" spans="1:19" x14ac:dyDescent="0.3">
      <c r="A421">
        <v>1039</v>
      </c>
      <c r="B421" s="1">
        <v>45080</v>
      </c>
      <c r="C421" s="1">
        <f>DATE(YEAR(Table1[[#This Row],[Sale_Date]]), MONTH(Table1[[#This Row],[Sale_Date]]), 1)</f>
        <v>45078</v>
      </c>
      <c r="D421" t="s">
        <v>14</v>
      </c>
      <c r="E421" t="s">
        <v>25</v>
      </c>
      <c r="F421" s="2">
        <v>3099.02</v>
      </c>
      <c r="G421">
        <v>8</v>
      </c>
      <c r="H421" t="s">
        <v>29</v>
      </c>
      <c r="I421" s="2">
        <v>3380.14</v>
      </c>
      <c r="J421" s="2">
        <v>3609.3399999999901</v>
      </c>
      <c r="K421" t="s">
        <v>17</v>
      </c>
      <c r="L421" s="5">
        <v>0.09</v>
      </c>
      <c r="M421" t="s">
        <v>31</v>
      </c>
      <c r="N421" t="s">
        <v>19</v>
      </c>
      <c r="O421" t="s">
        <v>32</v>
      </c>
      <c r="P421" s="4">
        <f t="shared" si="12"/>
        <v>26275.995199999928</v>
      </c>
      <c r="Q421" s="4">
        <f t="shared" si="13"/>
        <v>-765.12480000007054</v>
      </c>
      <c r="R421" t="str">
        <f>IF( Table1[[#This Row],[Total Amount after sale]] &gt; 0,"PROFIT","LOSS")</f>
        <v>LOSS</v>
      </c>
      <c r="S421" s="3">
        <f>(Table1[[#This Row],[Total Amount after sale]]/Table1[[#This Row],[Price after discount]])</f>
        <v>-2.9118775299520248E-2</v>
      </c>
    </row>
    <row r="422" spans="1:19" x14ac:dyDescent="0.3">
      <c r="A422">
        <v>1090</v>
      </c>
      <c r="B422" s="1">
        <v>45080</v>
      </c>
      <c r="C422" s="1">
        <f>DATE(YEAR(Table1[[#This Row],[Sale_Date]]), MONTH(Table1[[#This Row],[Sale_Date]]), 1)</f>
        <v>45078</v>
      </c>
      <c r="D422" t="s">
        <v>38</v>
      </c>
      <c r="E422" t="s">
        <v>15</v>
      </c>
      <c r="F422" s="2">
        <v>2132.8000000000002</v>
      </c>
      <c r="G422">
        <v>41</v>
      </c>
      <c r="H422" t="s">
        <v>16</v>
      </c>
      <c r="I422" s="2">
        <v>2055.4899999999998</v>
      </c>
      <c r="J422" s="2">
        <v>2441.46</v>
      </c>
      <c r="K422" t="s">
        <v>30</v>
      </c>
      <c r="L422" s="5">
        <v>0.24</v>
      </c>
      <c r="M422" t="s">
        <v>31</v>
      </c>
      <c r="N422" t="s">
        <v>19</v>
      </c>
      <c r="O422" t="s">
        <v>40</v>
      </c>
      <c r="P422" s="4">
        <f t="shared" si="12"/>
        <v>76075.89360000001</v>
      </c>
      <c r="Q422" s="4">
        <f t="shared" si="13"/>
        <v>-8199.196399999988</v>
      </c>
      <c r="R422" t="str">
        <f>IF( Table1[[#This Row],[Total Amount after sale]] &gt; 0,"PROFIT","LOSS")</f>
        <v>LOSS</v>
      </c>
      <c r="S422" s="3">
        <f>(Table1[[#This Row],[Total Amount after sale]]/Table1[[#This Row],[Price after discount]])</f>
        <v>-0.10777653750753953</v>
      </c>
    </row>
    <row r="423" spans="1:19" x14ac:dyDescent="0.3">
      <c r="A423">
        <v>1090</v>
      </c>
      <c r="B423" s="1">
        <v>45080</v>
      </c>
      <c r="C423" s="1">
        <f>DATE(YEAR(Table1[[#This Row],[Sale_Date]]), MONTH(Table1[[#This Row],[Sale_Date]]), 1)</f>
        <v>45078</v>
      </c>
      <c r="D423" t="s">
        <v>24</v>
      </c>
      <c r="E423" t="s">
        <v>25</v>
      </c>
      <c r="F423" s="2">
        <v>6106.64</v>
      </c>
      <c r="G423">
        <v>47</v>
      </c>
      <c r="H423" t="s">
        <v>16</v>
      </c>
      <c r="I423" s="2">
        <v>85.35</v>
      </c>
      <c r="J423" s="2">
        <v>360.539999999999</v>
      </c>
      <c r="K423" t="s">
        <v>30</v>
      </c>
      <c r="L423" s="5">
        <v>0.28000000000000003</v>
      </c>
      <c r="M423" t="s">
        <v>18</v>
      </c>
      <c r="N423" t="s">
        <v>19</v>
      </c>
      <c r="O423" t="s">
        <v>28</v>
      </c>
      <c r="P423" s="4">
        <f t="shared" si="12"/>
        <v>12200.673599999966</v>
      </c>
      <c r="Q423" s="4">
        <f t="shared" si="13"/>
        <v>8189.2235999999648</v>
      </c>
      <c r="R423" t="str">
        <f>IF( Table1[[#This Row],[Total Amount after sale]] &gt; 0,"PROFIT","LOSS")</f>
        <v>PROFIT</v>
      </c>
      <c r="S423" s="3">
        <f>(Table1[[#This Row],[Total Amount after sale]]/Table1[[#This Row],[Price after discount]])</f>
        <v>0.67121077642794968</v>
      </c>
    </row>
    <row r="424" spans="1:19" x14ac:dyDescent="0.3">
      <c r="A424">
        <v>1016</v>
      </c>
      <c r="B424" s="1">
        <v>45080</v>
      </c>
      <c r="C424" s="1">
        <f>DATE(YEAR(Table1[[#This Row],[Sale_Date]]), MONTH(Table1[[#This Row],[Sale_Date]]), 1)</f>
        <v>45078</v>
      </c>
      <c r="D424" t="s">
        <v>24</v>
      </c>
      <c r="E424" t="s">
        <v>21</v>
      </c>
      <c r="F424" s="2">
        <v>5848.92</v>
      </c>
      <c r="G424">
        <v>46</v>
      </c>
      <c r="H424" t="s">
        <v>29</v>
      </c>
      <c r="I424" s="2">
        <v>1023.5</v>
      </c>
      <c r="J424" s="2">
        <v>1164.4100000000001</v>
      </c>
      <c r="K424" t="s">
        <v>17</v>
      </c>
      <c r="L424" s="5">
        <v>0.28000000000000003</v>
      </c>
      <c r="M424" t="s">
        <v>31</v>
      </c>
      <c r="N424" t="s">
        <v>22</v>
      </c>
      <c r="O424" t="s">
        <v>47</v>
      </c>
      <c r="P424" s="4">
        <f t="shared" si="12"/>
        <v>38565.2592</v>
      </c>
      <c r="Q424" s="4">
        <f t="shared" si="13"/>
        <v>-8515.7407999999978</v>
      </c>
      <c r="R424" t="str">
        <f>IF( Table1[[#This Row],[Total Amount after sale]] &gt; 0,"PROFIT","LOSS")</f>
        <v>LOSS</v>
      </c>
      <c r="S424" s="3">
        <f>(Table1[[#This Row],[Total Amount after sale]]/Table1[[#This Row],[Price after discount]])</f>
        <v>-0.22081378361382822</v>
      </c>
    </row>
    <row r="425" spans="1:19" x14ac:dyDescent="0.3">
      <c r="A425">
        <v>1021</v>
      </c>
      <c r="B425" s="1">
        <v>45081</v>
      </c>
      <c r="C425" s="1">
        <f>DATE(YEAR(Table1[[#This Row],[Sale_Date]]), MONTH(Table1[[#This Row],[Sale_Date]]), 1)</f>
        <v>45078</v>
      </c>
      <c r="D425" t="s">
        <v>38</v>
      </c>
      <c r="E425" t="s">
        <v>15</v>
      </c>
      <c r="F425" s="2">
        <v>2265.2800000000002</v>
      </c>
      <c r="G425">
        <v>22</v>
      </c>
      <c r="H425" t="s">
        <v>35</v>
      </c>
      <c r="I425" s="2">
        <v>1296.44</v>
      </c>
      <c r="J425" s="2">
        <v>1751.24</v>
      </c>
      <c r="K425" t="s">
        <v>30</v>
      </c>
      <c r="L425" s="5">
        <v>0.22</v>
      </c>
      <c r="M425" t="s">
        <v>18</v>
      </c>
      <c r="N425" t="s">
        <v>19</v>
      </c>
      <c r="O425" t="s">
        <v>40</v>
      </c>
      <c r="P425" s="4">
        <f t="shared" si="12"/>
        <v>30051.278400000003</v>
      </c>
      <c r="Q425" s="4">
        <f t="shared" si="13"/>
        <v>1529.5983999999999</v>
      </c>
      <c r="R425" t="str">
        <f>IF( Table1[[#This Row],[Total Amount after sale]] &gt; 0,"PROFIT","LOSS")</f>
        <v>PROFIT</v>
      </c>
      <c r="S425" s="3">
        <f>(Table1[[#This Row],[Total Amount after sale]]/Table1[[#This Row],[Price after discount]])</f>
        <v>5.0899611645140515E-2</v>
      </c>
    </row>
    <row r="426" spans="1:19" x14ac:dyDescent="0.3">
      <c r="A426">
        <v>1096</v>
      </c>
      <c r="B426" s="1">
        <v>45081</v>
      </c>
      <c r="C426" s="1">
        <f>DATE(YEAR(Table1[[#This Row],[Sale_Date]]), MONTH(Table1[[#This Row],[Sale_Date]]), 1)</f>
        <v>45078</v>
      </c>
      <c r="D426" t="s">
        <v>14</v>
      </c>
      <c r="E426" t="s">
        <v>25</v>
      </c>
      <c r="F426" s="2">
        <v>9019.51</v>
      </c>
      <c r="G426">
        <v>14</v>
      </c>
      <c r="H426" t="s">
        <v>16</v>
      </c>
      <c r="I426" s="2">
        <v>2251.9499999999998</v>
      </c>
      <c r="J426" s="2">
        <v>2626.3199999999902</v>
      </c>
      <c r="K426" t="s">
        <v>17</v>
      </c>
      <c r="L426" s="5">
        <v>0.21</v>
      </c>
      <c r="M426" t="s">
        <v>31</v>
      </c>
      <c r="N426" t="s">
        <v>19</v>
      </c>
      <c r="O426" t="s">
        <v>32</v>
      </c>
      <c r="P426" s="4">
        <f t="shared" si="12"/>
        <v>29047.099199999895</v>
      </c>
      <c r="Q426" s="4">
        <f t="shared" si="13"/>
        <v>-2480.2008000001033</v>
      </c>
      <c r="R426" t="str">
        <f>IF( Table1[[#This Row],[Total Amount after sale]] &gt; 0,"PROFIT","LOSS")</f>
        <v>LOSS</v>
      </c>
      <c r="S426" s="3">
        <f>(Table1[[#This Row],[Total Amount after sale]]/Table1[[#This Row],[Price after discount]])</f>
        <v>-8.538549005954138E-2</v>
      </c>
    </row>
    <row r="427" spans="1:19" x14ac:dyDescent="0.3">
      <c r="A427">
        <v>1082</v>
      </c>
      <c r="B427" s="1">
        <v>45082</v>
      </c>
      <c r="C427" s="1">
        <f>DATE(YEAR(Table1[[#This Row],[Sale_Date]]), MONTH(Table1[[#This Row],[Sale_Date]]), 1)</f>
        <v>45078</v>
      </c>
      <c r="D427" t="s">
        <v>33</v>
      </c>
      <c r="E427" t="s">
        <v>34</v>
      </c>
      <c r="F427" s="2">
        <v>3320.42</v>
      </c>
      <c r="G427">
        <v>15</v>
      </c>
      <c r="H427" t="s">
        <v>29</v>
      </c>
      <c r="I427" s="2">
        <v>1719.47</v>
      </c>
      <c r="J427" s="2">
        <v>1832.6</v>
      </c>
      <c r="K427" t="s">
        <v>17</v>
      </c>
      <c r="L427" s="5">
        <v>0.12</v>
      </c>
      <c r="M427" t="s">
        <v>31</v>
      </c>
      <c r="N427" t="s">
        <v>19</v>
      </c>
      <c r="O427" t="s">
        <v>36</v>
      </c>
      <c r="P427" s="4">
        <f t="shared" si="12"/>
        <v>24190.32</v>
      </c>
      <c r="Q427" s="4">
        <f t="shared" si="13"/>
        <v>-1601.7300000000023</v>
      </c>
      <c r="R427" t="str">
        <f>IF( Table1[[#This Row],[Total Amount after sale]] &gt; 0,"PROFIT","LOSS")</f>
        <v>LOSS</v>
      </c>
      <c r="S427" s="3">
        <f>(Table1[[#This Row],[Total Amount after sale]]/Table1[[#This Row],[Price after discount]])</f>
        <v>-6.6213675552865864E-2</v>
      </c>
    </row>
    <row r="428" spans="1:19" x14ac:dyDescent="0.3">
      <c r="A428">
        <v>1079</v>
      </c>
      <c r="B428" s="1">
        <v>45083</v>
      </c>
      <c r="C428" s="1">
        <f>DATE(YEAR(Table1[[#This Row],[Sale_Date]]), MONTH(Table1[[#This Row],[Sale_Date]]), 1)</f>
        <v>45078</v>
      </c>
      <c r="D428" t="s">
        <v>24</v>
      </c>
      <c r="E428" t="s">
        <v>25</v>
      </c>
      <c r="F428" s="2">
        <v>1982.07</v>
      </c>
      <c r="G428">
        <v>34</v>
      </c>
      <c r="H428" t="s">
        <v>16</v>
      </c>
      <c r="I428" s="2">
        <v>1967.96</v>
      </c>
      <c r="J428" s="2">
        <v>1993.4</v>
      </c>
      <c r="K428" t="s">
        <v>17</v>
      </c>
      <c r="L428" s="5">
        <v>0.15</v>
      </c>
      <c r="M428" t="s">
        <v>31</v>
      </c>
      <c r="N428" t="s">
        <v>19</v>
      </c>
      <c r="O428" t="s">
        <v>28</v>
      </c>
      <c r="P428" s="4">
        <f t="shared" si="12"/>
        <v>57609.26</v>
      </c>
      <c r="Q428" s="4">
        <f t="shared" si="13"/>
        <v>-9301.3799999999974</v>
      </c>
      <c r="R428" t="str">
        <f>IF( Table1[[#This Row],[Total Amount after sale]] &gt; 0,"PROFIT","LOSS")</f>
        <v>LOSS</v>
      </c>
      <c r="S428" s="3">
        <f>(Table1[[#This Row],[Total Amount after sale]]/Table1[[#This Row],[Price after discount]])</f>
        <v>-0.1614563353183151</v>
      </c>
    </row>
    <row r="429" spans="1:19" x14ac:dyDescent="0.3">
      <c r="A429">
        <v>1042</v>
      </c>
      <c r="B429" s="1">
        <v>45083</v>
      </c>
      <c r="C429" s="1">
        <f>DATE(YEAR(Table1[[#This Row],[Sale_Date]]), MONTH(Table1[[#This Row],[Sale_Date]]), 1)</f>
        <v>45078</v>
      </c>
      <c r="D429" t="s">
        <v>14</v>
      </c>
      <c r="E429" t="s">
        <v>15</v>
      </c>
      <c r="F429" s="2">
        <v>9442.65</v>
      </c>
      <c r="G429">
        <v>20</v>
      </c>
      <c r="H429" t="s">
        <v>26</v>
      </c>
      <c r="I429" s="2">
        <v>3115.06</v>
      </c>
      <c r="J429" s="2">
        <v>3565.58</v>
      </c>
      <c r="K429" t="s">
        <v>17</v>
      </c>
      <c r="L429" s="5">
        <v>0.3</v>
      </c>
      <c r="M429" t="s">
        <v>31</v>
      </c>
      <c r="N429" t="s">
        <v>22</v>
      </c>
      <c r="O429" t="s">
        <v>20</v>
      </c>
      <c r="P429" s="4">
        <f t="shared" si="12"/>
        <v>49918.119999999995</v>
      </c>
      <c r="Q429" s="4">
        <f t="shared" si="13"/>
        <v>-12383.08</v>
      </c>
      <c r="R429" t="str">
        <f>IF( Table1[[#This Row],[Total Amount after sale]] &gt; 0,"PROFIT","LOSS")</f>
        <v>LOSS</v>
      </c>
      <c r="S429" s="3">
        <f>(Table1[[#This Row],[Total Amount after sale]]/Table1[[#This Row],[Price after discount]])</f>
        <v>-0.24806783588805029</v>
      </c>
    </row>
    <row r="430" spans="1:19" x14ac:dyDescent="0.3">
      <c r="A430">
        <v>1045</v>
      </c>
      <c r="B430" s="1">
        <v>45083</v>
      </c>
      <c r="C430" s="1">
        <f>DATE(YEAR(Table1[[#This Row],[Sale_Date]]), MONTH(Table1[[#This Row],[Sale_Date]]), 1)</f>
        <v>45078</v>
      </c>
      <c r="D430" t="s">
        <v>14</v>
      </c>
      <c r="E430" t="s">
        <v>25</v>
      </c>
      <c r="F430" s="2">
        <v>3284.53</v>
      </c>
      <c r="G430">
        <v>15</v>
      </c>
      <c r="H430" t="s">
        <v>35</v>
      </c>
      <c r="I430" s="2">
        <v>316.22000000000003</v>
      </c>
      <c r="J430" s="2">
        <v>799.04</v>
      </c>
      <c r="K430" t="s">
        <v>30</v>
      </c>
      <c r="L430" s="5">
        <v>0</v>
      </c>
      <c r="M430" t="s">
        <v>27</v>
      </c>
      <c r="N430" t="s">
        <v>19</v>
      </c>
      <c r="O430" t="s">
        <v>32</v>
      </c>
      <c r="P430" s="4">
        <f t="shared" si="12"/>
        <v>11985.599999999999</v>
      </c>
      <c r="Q430" s="4">
        <f t="shared" si="13"/>
        <v>7242.2999999999993</v>
      </c>
      <c r="R430" t="str">
        <f>IF( Table1[[#This Row],[Total Amount after sale]] &gt; 0,"PROFIT","LOSS")</f>
        <v>PROFIT</v>
      </c>
      <c r="S430" s="3">
        <f>(Table1[[#This Row],[Total Amount after sale]]/Table1[[#This Row],[Price after discount]])</f>
        <v>0.60425010012014424</v>
      </c>
    </row>
    <row r="431" spans="1:19" x14ac:dyDescent="0.3">
      <c r="A431">
        <v>1006</v>
      </c>
      <c r="B431" s="1">
        <v>45083</v>
      </c>
      <c r="C431" s="1">
        <f>DATE(YEAR(Table1[[#This Row],[Sale_Date]]), MONTH(Table1[[#This Row],[Sale_Date]]), 1)</f>
        <v>45078</v>
      </c>
      <c r="D431" t="s">
        <v>14</v>
      </c>
      <c r="E431" t="s">
        <v>34</v>
      </c>
      <c r="F431" s="2">
        <v>1044.45</v>
      </c>
      <c r="G431">
        <v>21</v>
      </c>
      <c r="H431" t="s">
        <v>35</v>
      </c>
      <c r="I431" s="2">
        <v>1701.62</v>
      </c>
      <c r="J431" s="2">
        <v>2193.2199999999998</v>
      </c>
      <c r="K431" t="s">
        <v>30</v>
      </c>
      <c r="L431" s="5">
        <v>0.22</v>
      </c>
      <c r="M431" t="s">
        <v>27</v>
      </c>
      <c r="N431" t="s">
        <v>22</v>
      </c>
      <c r="O431" t="s">
        <v>46</v>
      </c>
      <c r="P431" s="4">
        <f t="shared" si="12"/>
        <v>35924.943599999999</v>
      </c>
      <c r="Q431" s="4">
        <f t="shared" si="13"/>
        <v>190.9235999999994</v>
      </c>
      <c r="R431" t="str">
        <f>IF( Table1[[#This Row],[Total Amount after sale]] &gt; 0,"PROFIT","LOSS")</f>
        <v>PROFIT</v>
      </c>
      <c r="S431" s="3">
        <f>(Table1[[#This Row],[Total Amount after sale]]/Table1[[#This Row],[Price after discount]])</f>
        <v>5.3145135626601068E-3</v>
      </c>
    </row>
    <row r="432" spans="1:19" x14ac:dyDescent="0.3">
      <c r="A432">
        <v>1033</v>
      </c>
      <c r="B432" s="1">
        <v>45083</v>
      </c>
      <c r="C432" s="1">
        <f>DATE(YEAR(Table1[[#This Row],[Sale_Date]]), MONTH(Table1[[#This Row],[Sale_Date]]), 1)</f>
        <v>45078</v>
      </c>
      <c r="D432" t="s">
        <v>42</v>
      </c>
      <c r="E432" t="s">
        <v>34</v>
      </c>
      <c r="F432" s="2">
        <v>4602.17</v>
      </c>
      <c r="G432">
        <v>32</v>
      </c>
      <c r="H432" t="s">
        <v>26</v>
      </c>
      <c r="I432" s="2">
        <v>108.99</v>
      </c>
      <c r="J432" s="2">
        <v>351.6</v>
      </c>
      <c r="K432" t="s">
        <v>17</v>
      </c>
      <c r="L432" s="5">
        <v>0.27</v>
      </c>
      <c r="M432" t="s">
        <v>31</v>
      </c>
      <c r="N432" t="s">
        <v>22</v>
      </c>
      <c r="O432" t="s">
        <v>52</v>
      </c>
      <c r="P432" s="4">
        <f t="shared" si="12"/>
        <v>8213.3760000000002</v>
      </c>
      <c r="Q432" s="4">
        <f t="shared" si="13"/>
        <v>4725.6959999999999</v>
      </c>
      <c r="R432" t="str">
        <f>IF( Table1[[#This Row],[Total Amount after sale]] &gt; 0,"PROFIT","LOSS")</f>
        <v>PROFIT</v>
      </c>
      <c r="S432" s="3">
        <f>(Table1[[#This Row],[Total Amount after sale]]/Table1[[#This Row],[Price after discount]])</f>
        <v>0.57536584225536491</v>
      </c>
    </row>
    <row r="433" spans="1:19" x14ac:dyDescent="0.3">
      <c r="A433">
        <v>1037</v>
      </c>
      <c r="B433" s="1">
        <v>45084</v>
      </c>
      <c r="C433" s="1">
        <f>DATE(YEAR(Table1[[#This Row],[Sale_Date]]), MONTH(Table1[[#This Row],[Sale_Date]]), 1)</f>
        <v>45078</v>
      </c>
      <c r="D433" t="s">
        <v>42</v>
      </c>
      <c r="E433" t="s">
        <v>25</v>
      </c>
      <c r="F433" s="2">
        <v>6055.38</v>
      </c>
      <c r="G433">
        <v>4</v>
      </c>
      <c r="H433" t="s">
        <v>26</v>
      </c>
      <c r="I433" s="2">
        <v>4721.7</v>
      </c>
      <c r="J433" s="2">
        <v>5017.58</v>
      </c>
      <c r="K433" t="s">
        <v>30</v>
      </c>
      <c r="L433" s="5">
        <v>0.24</v>
      </c>
      <c r="M433" t="s">
        <v>18</v>
      </c>
      <c r="N433" t="s">
        <v>22</v>
      </c>
      <c r="O433" t="s">
        <v>43</v>
      </c>
      <c r="P433" s="4">
        <f t="shared" si="12"/>
        <v>15253.4432</v>
      </c>
      <c r="Q433" s="4">
        <f t="shared" si="13"/>
        <v>-3633.3567999999996</v>
      </c>
      <c r="R433" t="str">
        <f>IF( Table1[[#This Row],[Total Amount after sale]] &gt; 0,"PROFIT","LOSS")</f>
        <v>LOSS</v>
      </c>
      <c r="S433" s="3">
        <f>(Table1[[#This Row],[Total Amount after sale]]/Table1[[#This Row],[Price after discount]])</f>
        <v>-0.23819912346085897</v>
      </c>
    </row>
    <row r="434" spans="1:19" x14ac:dyDescent="0.3">
      <c r="A434">
        <v>1085</v>
      </c>
      <c r="B434" s="1">
        <v>45084</v>
      </c>
      <c r="C434" s="1">
        <f>DATE(YEAR(Table1[[#This Row],[Sale_Date]]), MONTH(Table1[[#This Row],[Sale_Date]]), 1)</f>
        <v>45078</v>
      </c>
      <c r="D434" t="s">
        <v>33</v>
      </c>
      <c r="E434" t="s">
        <v>34</v>
      </c>
      <c r="F434" s="2">
        <v>2070.02</v>
      </c>
      <c r="G434">
        <v>42</v>
      </c>
      <c r="H434" t="s">
        <v>29</v>
      </c>
      <c r="I434" s="2">
        <v>2254.11</v>
      </c>
      <c r="J434" s="2">
        <v>2382.23</v>
      </c>
      <c r="K434" t="s">
        <v>17</v>
      </c>
      <c r="L434" s="5">
        <v>0.15</v>
      </c>
      <c r="M434" t="s">
        <v>31</v>
      </c>
      <c r="N434" t="s">
        <v>22</v>
      </c>
      <c r="O434" t="s">
        <v>36</v>
      </c>
      <c r="P434" s="4">
        <f t="shared" si="12"/>
        <v>85045.61099999999</v>
      </c>
      <c r="Q434" s="4">
        <f t="shared" si="13"/>
        <v>-9627.0090000000109</v>
      </c>
      <c r="R434" t="str">
        <f>IF( Table1[[#This Row],[Total Amount after sale]] &gt; 0,"PROFIT","LOSS")</f>
        <v>LOSS</v>
      </c>
      <c r="S434" s="3">
        <f>(Table1[[#This Row],[Total Amount after sale]]/Table1[[#This Row],[Price after discount]])</f>
        <v>-0.11319818726447872</v>
      </c>
    </row>
    <row r="435" spans="1:19" x14ac:dyDescent="0.3">
      <c r="A435">
        <v>1099</v>
      </c>
      <c r="B435" s="1">
        <v>45084</v>
      </c>
      <c r="C435" s="1">
        <f>DATE(YEAR(Table1[[#This Row],[Sale_Date]]), MONTH(Table1[[#This Row],[Sale_Date]]), 1)</f>
        <v>45078</v>
      </c>
      <c r="D435" t="s">
        <v>33</v>
      </c>
      <c r="E435" t="s">
        <v>34</v>
      </c>
      <c r="F435" s="2">
        <v>4346.55</v>
      </c>
      <c r="G435">
        <v>31</v>
      </c>
      <c r="H435" t="s">
        <v>26</v>
      </c>
      <c r="I435" s="2">
        <v>1974.4</v>
      </c>
      <c r="J435" s="2">
        <v>2259.5</v>
      </c>
      <c r="K435" t="s">
        <v>30</v>
      </c>
      <c r="L435" s="5">
        <v>0.27</v>
      </c>
      <c r="M435" t="s">
        <v>18</v>
      </c>
      <c r="N435" t="s">
        <v>22</v>
      </c>
      <c r="O435" t="s">
        <v>36</v>
      </c>
      <c r="P435" s="4">
        <f t="shared" si="12"/>
        <v>51132.485000000001</v>
      </c>
      <c r="Q435" s="4">
        <f t="shared" si="13"/>
        <v>-10073.915000000005</v>
      </c>
      <c r="R435" t="str">
        <f>IF( Table1[[#This Row],[Total Amount after sale]] &gt; 0,"PROFIT","LOSS")</f>
        <v>LOSS</v>
      </c>
      <c r="S435" s="3">
        <f>(Table1[[#This Row],[Total Amount after sale]]/Table1[[#This Row],[Price after discount]])</f>
        <v>-0.19701594788518501</v>
      </c>
    </row>
    <row r="436" spans="1:19" x14ac:dyDescent="0.3">
      <c r="A436">
        <v>1014</v>
      </c>
      <c r="B436" s="1">
        <v>45084</v>
      </c>
      <c r="C436" s="1">
        <f>DATE(YEAR(Table1[[#This Row],[Sale_Date]]), MONTH(Table1[[#This Row],[Sale_Date]]), 1)</f>
        <v>45078</v>
      </c>
      <c r="D436" t="s">
        <v>42</v>
      </c>
      <c r="E436" t="s">
        <v>15</v>
      </c>
      <c r="F436" s="2">
        <v>408.38</v>
      </c>
      <c r="G436">
        <v>3</v>
      </c>
      <c r="H436" t="s">
        <v>35</v>
      </c>
      <c r="I436" s="2">
        <v>2468.29</v>
      </c>
      <c r="J436" s="2">
        <v>2723.13</v>
      </c>
      <c r="K436" t="s">
        <v>17</v>
      </c>
      <c r="L436" s="5">
        <v>0.08</v>
      </c>
      <c r="M436" t="s">
        <v>18</v>
      </c>
      <c r="N436" t="s">
        <v>22</v>
      </c>
      <c r="O436" t="s">
        <v>49</v>
      </c>
      <c r="P436" s="4">
        <f t="shared" si="12"/>
        <v>7515.8388000000014</v>
      </c>
      <c r="Q436" s="4">
        <f t="shared" si="13"/>
        <v>110.96880000000101</v>
      </c>
      <c r="R436" t="str">
        <f>IF( Table1[[#This Row],[Total Amount after sale]] &gt; 0,"PROFIT","LOSS")</f>
        <v>PROFIT</v>
      </c>
      <c r="S436" s="3">
        <f>(Table1[[#This Row],[Total Amount after sale]]/Table1[[#This Row],[Price after discount]])</f>
        <v>1.4764659401689268E-2</v>
      </c>
    </row>
    <row r="437" spans="1:19" x14ac:dyDescent="0.3">
      <c r="A437">
        <v>1032</v>
      </c>
      <c r="B437" s="1">
        <v>45085</v>
      </c>
      <c r="C437" s="1">
        <f>DATE(YEAR(Table1[[#This Row],[Sale_Date]]), MONTH(Table1[[#This Row],[Sale_Date]]), 1)</f>
        <v>45078</v>
      </c>
      <c r="D437" t="s">
        <v>38</v>
      </c>
      <c r="E437" t="s">
        <v>21</v>
      </c>
      <c r="F437" s="2">
        <v>219.82</v>
      </c>
      <c r="G437">
        <v>49</v>
      </c>
      <c r="H437" t="s">
        <v>35</v>
      </c>
      <c r="I437" s="2">
        <v>4812.41</v>
      </c>
      <c r="J437" s="2">
        <v>5088</v>
      </c>
      <c r="K437" t="s">
        <v>17</v>
      </c>
      <c r="L437" s="5">
        <v>0.09</v>
      </c>
      <c r="M437" t="s">
        <v>31</v>
      </c>
      <c r="N437" t="s">
        <v>19</v>
      </c>
      <c r="O437" t="s">
        <v>41</v>
      </c>
      <c r="P437" s="4">
        <f t="shared" si="12"/>
        <v>226873.91999999998</v>
      </c>
      <c r="Q437" s="4">
        <f t="shared" si="13"/>
        <v>-8934.1699999999964</v>
      </c>
      <c r="R437" t="str">
        <f>IF( Table1[[#This Row],[Total Amount after sale]] &gt; 0,"PROFIT","LOSS")</f>
        <v>LOSS</v>
      </c>
      <c r="S437" s="3">
        <f>(Table1[[#This Row],[Total Amount after sale]]/Table1[[#This Row],[Price after discount]])</f>
        <v>-3.9379449167185006E-2</v>
      </c>
    </row>
    <row r="438" spans="1:19" x14ac:dyDescent="0.3">
      <c r="A438">
        <v>1012</v>
      </c>
      <c r="B438" s="1">
        <v>45085</v>
      </c>
      <c r="C438" s="1">
        <f>DATE(YEAR(Table1[[#This Row],[Sale_Date]]), MONTH(Table1[[#This Row],[Sale_Date]]), 1)</f>
        <v>45078</v>
      </c>
      <c r="D438" t="s">
        <v>14</v>
      </c>
      <c r="E438" t="s">
        <v>34</v>
      </c>
      <c r="F438" s="2">
        <v>3608.81</v>
      </c>
      <c r="G438">
        <v>19</v>
      </c>
      <c r="H438" t="s">
        <v>16</v>
      </c>
      <c r="I438" s="2">
        <v>3457.28</v>
      </c>
      <c r="J438" s="2">
        <v>3598.72</v>
      </c>
      <c r="K438" t="s">
        <v>30</v>
      </c>
      <c r="L438" s="5">
        <v>0.27</v>
      </c>
      <c r="M438" t="s">
        <v>27</v>
      </c>
      <c r="N438" t="s">
        <v>19</v>
      </c>
      <c r="O438" t="s">
        <v>46</v>
      </c>
      <c r="P438" s="4">
        <f t="shared" si="12"/>
        <v>49914.246399999996</v>
      </c>
      <c r="Q438" s="4">
        <f t="shared" si="13"/>
        <v>-15774.073600000005</v>
      </c>
      <c r="R438" t="str">
        <f>IF( Table1[[#This Row],[Total Amount after sale]] &gt; 0,"PROFIT","LOSS")</f>
        <v>LOSS</v>
      </c>
      <c r="S438" s="3">
        <f>(Table1[[#This Row],[Total Amount after sale]]/Table1[[#This Row],[Price after discount]])</f>
        <v>-0.31602347501333822</v>
      </c>
    </row>
    <row r="439" spans="1:19" x14ac:dyDescent="0.3">
      <c r="A439">
        <v>1057</v>
      </c>
      <c r="B439" s="1">
        <v>45085</v>
      </c>
      <c r="C439" s="1">
        <f>DATE(YEAR(Table1[[#This Row],[Sale_Date]]), MONTH(Table1[[#This Row],[Sale_Date]]), 1)</f>
        <v>45078</v>
      </c>
      <c r="D439" t="s">
        <v>33</v>
      </c>
      <c r="E439" t="s">
        <v>34</v>
      </c>
      <c r="F439" s="2">
        <v>1605.28</v>
      </c>
      <c r="G439">
        <v>43</v>
      </c>
      <c r="H439" t="s">
        <v>16</v>
      </c>
      <c r="I439" s="2">
        <v>4567.3900000000003</v>
      </c>
      <c r="J439" s="2">
        <v>4958.78</v>
      </c>
      <c r="K439" t="s">
        <v>30</v>
      </c>
      <c r="L439" s="5">
        <v>0.04</v>
      </c>
      <c r="M439" t="s">
        <v>18</v>
      </c>
      <c r="N439" t="s">
        <v>22</v>
      </c>
      <c r="O439" t="s">
        <v>36</v>
      </c>
      <c r="P439" s="4">
        <f t="shared" si="12"/>
        <v>204698.43839999998</v>
      </c>
      <c r="Q439" s="4">
        <f t="shared" si="13"/>
        <v>8300.6683999999732</v>
      </c>
      <c r="R439" t="str">
        <f>IF( Table1[[#This Row],[Total Amount after sale]] &gt; 0,"PROFIT","LOSS")</f>
        <v>PROFIT</v>
      </c>
      <c r="S439" s="3">
        <f>(Table1[[#This Row],[Total Amount after sale]]/Table1[[#This Row],[Price after discount]])</f>
        <v>4.0550716775765952E-2</v>
      </c>
    </row>
    <row r="440" spans="1:19" x14ac:dyDescent="0.3">
      <c r="A440">
        <v>1093</v>
      </c>
      <c r="B440" s="1">
        <v>45086</v>
      </c>
      <c r="C440" s="1">
        <f>DATE(YEAR(Table1[[#This Row],[Sale_Date]]), MONTH(Table1[[#This Row],[Sale_Date]]), 1)</f>
        <v>45078</v>
      </c>
      <c r="D440" t="s">
        <v>14</v>
      </c>
      <c r="E440" t="s">
        <v>25</v>
      </c>
      <c r="F440" s="2">
        <v>4391.38</v>
      </c>
      <c r="G440">
        <v>38</v>
      </c>
      <c r="H440" t="s">
        <v>26</v>
      </c>
      <c r="I440" s="2">
        <v>86.59</v>
      </c>
      <c r="J440" s="2">
        <v>390.89</v>
      </c>
      <c r="K440" t="s">
        <v>17</v>
      </c>
      <c r="L440" s="5">
        <v>0.25</v>
      </c>
      <c r="M440" t="s">
        <v>31</v>
      </c>
      <c r="N440" t="s">
        <v>19</v>
      </c>
      <c r="O440" t="s">
        <v>32</v>
      </c>
      <c r="P440" s="4">
        <f t="shared" si="12"/>
        <v>11140.365000000002</v>
      </c>
      <c r="Q440" s="4">
        <f t="shared" si="13"/>
        <v>7849.9450000000006</v>
      </c>
      <c r="R440" t="str">
        <f>IF( Table1[[#This Row],[Total Amount after sale]] &gt; 0,"PROFIT","LOSS")</f>
        <v>PROFIT</v>
      </c>
      <c r="S440" s="3">
        <f>(Table1[[#This Row],[Total Amount after sale]]/Table1[[#This Row],[Price after discount]])</f>
        <v>0.70463983899988913</v>
      </c>
    </row>
    <row r="441" spans="1:19" x14ac:dyDescent="0.3">
      <c r="A441">
        <v>1047</v>
      </c>
      <c r="B441" s="1">
        <v>45086</v>
      </c>
      <c r="C441" s="1">
        <f>DATE(YEAR(Table1[[#This Row],[Sale_Date]]), MONTH(Table1[[#This Row],[Sale_Date]]), 1)</f>
        <v>45078</v>
      </c>
      <c r="D441" t="s">
        <v>24</v>
      </c>
      <c r="E441" t="s">
        <v>34</v>
      </c>
      <c r="F441" s="2">
        <v>3746.64</v>
      </c>
      <c r="G441">
        <v>18</v>
      </c>
      <c r="H441" t="s">
        <v>29</v>
      </c>
      <c r="I441" s="2">
        <v>560.91999999999996</v>
      </c>
      <c r="J441" s="2">
        <v>1024.31</v>
      </c>
      <c r="K441" t="s">
        <v>17</v>
      </c>
      <c r="L441" s="5">
        <v>0.26</v>
      </c>
      <c r="M441" t="s">
        <v>18</v>
      </c>
      <c r="N441" t="s">
        <v>19</v>
      </c>
      <c r="O441" t="s">
        <v>50</v>
      </c>
      <c r="P441" s="4">
        <f t="shared" si="12"/>
        <v>13643.8092</v>
      </c>
      <c r="Q441" s="4">
        <f t="shared" si="13"/>
        <v>3547.2491999999993</v>
      </c>
      <c r="R441" t="str">
        <f>IF( Table1[[#This Row],[Total Amount after sale]] &gt; 0,"PROFIT","LOSS")</f>
        <v>PROFIT</v>
      </c>
      <c r="S441" s="3">
        <f>(Table1[[#This Row],[Total Amount after sale]]/Table1[[#This Row],[Price after discount]])</f>
        <v>0.25998965157032533</v>
      </c>
    </row>
    <row r="442" spans="1:19" x14ac:dyDescent="0.3">
      <c r="A442">
        <v>1017</v>
      </c>
      <c r="B442" s="1">
        <v>45086</v>
      </c>
      <c r="C442" s="1">
        <f>DATE(YEAR(Table1[[#This Row],[Sale_Date]]), MONTH(Table1[[#This Row],[Sale_Date]]), 1)</f>
        <v>45078</v>
      </c>
      <c r="D442" t="s">
        <v>33</v>
      </c>
      <c r="E442" t="s">
        <v>34</v>
      </c>
      <c r="F442" s="2">
        <v>2638.98</v>
      </c>
      <c r="G442">
        <v>35</v>
      </c>
      <c r="H442" t="s">
        <v>16</v>
      </c>
      <c r="I442" s="2">
        <v>4480.63</v>
      </c>
      <c r="J442" s="2">
        <v>4884.12</v>
      </c>
      <c r="K442" t="s">
        <v>30</v>
      </c>
      <c r="L442" s="5">
        <v>0.04</v>
      </c>
      <c r="M442" t="s">
        <v>18</v>
      </c>
      <c r="N442" t="s">
        <v>19</v>
      </c>
      <c r="O442" t="s">
        <v>36</v>
      </c>
      <c r="P442" s="4">
        <f t="shared" si="12"/>
        <v>164106.43199999997</v>
      </c>
      <c r="Q442" s="4">
        <f t="shared" si="13"/>
        <v>7284.3819999999823</v>
      </c>
      <c r="R442" t="str">
        <f>IF( Table1[[#This Row],[Total Amount after sale]] &gt; 0,"PROFIT","LOSS")</f>
        <v>PROFIT</v>
      </c>
      <c r="S442" s="3">
        <f>(Table1[[#This Row],[Total Amount after sale]]/Table1[[#This Row],[Price after discount]])</f>
        <v>4.4388156583649224E-2</v>
      </c>
    </row>
    <row r="443" spans="1:19" x14ac:dyDescent="0.3">
      <c r="A443">
        <v>1054</v>
      </c>
      <c r="B443" s="1">
        <v>45087</v>
      </c>
      <c r="C443" s="1">
        <f>DATE(YEAR(Table1[[#This Row],[Sale_Date]]), MONTH(Table1[[#This Row],[Sale_Date]]), 1)</f>
        <v>45078</v>
      </c>
      <c r="D443" t="s">
        <v>14</v>
      </c>
      <c r="E443" t="s">
        <v>25</v>
      </c>
      <c r="F443" s="2">
        <v>7853.66</v>
      </c>
      <c r="G443">
        <v>21</v>
      </c>
      <c r="H443" t="s">
        <v>16</v>
      </c>
      <c r="I443" s="2">
        <v>4668.1400000000003</v>
      </c>
      <c r="J443" s="2">
        <v>5040.22</v>
      </c>
      <c r="K443" t="s">
        <v>30</v>
      </c>
      <c r="L443" s="5">
        <v>0.05</v>
      </c>
      <c r="M443" t="s">
        <v>27</v>
      </c>
      <c r="N443" t="s">
        <v>19</v>
      </c>
      <c r="O443" t="s">
        <v>32</v>
      </c>
      <c r="P443" s="4">
        <f t="shared" si="12"/>
        <v>100552.389</v>
      </c>
      <c r="Q443" s="4">
        <f t="shared" si="13"/>
        <v>2521.4489999999896</v>
      </c>
      <c r="R443" t="str">
        <f>IF( Table1[[#This Row],[Total Amount after sale]] &gt; 0,"PROFIT","LOSS")</f>
        <v>PROFIT</v>
      </c>
      <c r="S443" s="3">
        <f>(Table1[[#This Row],[Total Amount after sale]]/Table1[[#This Row],[Price after discount]])</f>
        <v>2.5075973083046189E-2</v>
      </c>
    </row>
    <row r="444" spans="1:19" x14ac:dyDescent="0.3">
      <c r="A444">
        <v>1096</v>
      </c>
      <c r="B444" s="1">
        <v>45087</v>
      </c>
      <c r="C444" s="1">
        <f>DATE(YEAR(Table1[[#This Row],[Sale_Date]]), MONTH(Table1[[#This Row],[Sale_Date]]), 1)</f>
        <v>45078</v>
      </c>
      <c r="D444" t="s">
        <v>33</v>
      </c>
      <c r="E444" t="s">
        <v>25</v>
      </c>
      <c r="F444" s="2">
        <v>2320.5100000000002</v>
      </c>
      <c r="G444">
        <v>6</v>
      </c>
      <c r="H444" t="s">
        <v>16</v>
      </c>
      <c r="I444" s="2">
        <v>252.62</v>
      </c>
      <c r="J444" s="2">
        <v>742</v>
      </c>
      <c r="K444" t="s">
        <v>30</v>
      </c>
      <c r="L444" s="5">
        <v>0.22</v>
      </c>
      <c r="M444" t="s">
        <v>31</v>
      </c>
      <c r="N444" t="s">
        <v>22</v>
      </c>
      <c r="O444" t="s">
        <v>44</v>
      </c>
      <c r="P444" s="4">
        <f t="shared" si="12"/>
        <v>3472.56</v>
      </c>
      <c r="Q444" s="4">
        <f t="shared" si="13"/>
        <v>1956.84</v>
      </c>
      <c r="R444" t="str">
        <f>IF( Table1[[#This Row],[Total Amount after sale]] &gt; 0,"PROFIT","LOSS")</f>
        <v>PROFIT</v>
      </c>
      <c r="S444" s="3">
        <f>(Table1[[#This Row],[Total Amount after sale]]/Table1[[#This Row],[Price after discount]])</f>
        <v>0.56351510125095028</v>
      </c>
    </row>
    <row r="445" spans="1:19" x14ac:dyDescent="0.3">
      <c r="A445">
        <v>1028</v>
      </c>
      <c r="B445" s="1">
        <v>45087</v>
      </c>
      <c r="C445" s="1">
        <f>DATE(YEAR(Table1[[#This Row],[Sale_Date]]), MONTH(Table1[[#This Row],[Sale_Date]]), 1)</f>
        <v>45078</v>
      </c>
      <c r="D445" t="s">
        <v>42</v>
      </c>
      <c r="E445" t="s">
        <v>15</v>
      </c>
      <c r="F445" s="2">
        <v>7987.15</v>
      </c>
      <c r="G445">
        <v>2</v>
      </c>
      <c r="H445" t="s">
        <v>16</v>
      </c>
      <c r="I445" s="2">
        <v>3146.12</v>
      </c>
      <c r="J445" s="2">
        <v>3255.5299999999902</v>
      </c>
      <c r="K445" t="s">
        <v>17</v>
      </c>
      <c r="L445" s="5">
        <v>0.06</v>
      </c>
      <c r="M445" t="s">
        <v>27</v>
      </c>
      <c r="N445" t="s">
        <v>19</v>
      </c>
      <c r="O445" t="s">
        <v>49</v>
      </c>
      <c r="P445" s="4">
        <f t="shared" si="12"/>
        <v>6120.3963999999814</v>
      </c>
      <c r="Q445" s="4">
        <f t="shared" si="13"/>
        <v>-171.84360000001834</v>
      </c>
      <c r="R445" t="str">
        <f>IF( Table1[[#This Row],[Total Amount after sale]] &gt; 0,"PROFIT","LOSS")</f>
        <v>LOSS</v>
      </c>
      <c r="S445" s="3">
        <f>(Table1[[#This Row],[Total Amount after sale]]/Table1[[#This Row],[Price after discount]])</f>
        <v>-2.8077201012669518E-2</v>
      </c>
    </row>
    <row r="446" spans="1:19" x14ac:dyDescent="0.3">
      <c r="A446">
        <v>1029</v>
      </c>
      <c r="B446" s="1">
        <v>45087</v>
      </c>
      <c r="C446" s="1">
        <f>DATE(YEAR(Table1[[#This Row],[Sale_Date]]), MONTH(Table1[[#This Row],[Sale_Date]]), 1)</f>
        <v>45078</v>
      </c>
      <c r="D446" t="s">
        <v>38</v>
      </c>
      <c r="E446" t="s">
        <v>34</v>
      </c>
      <c r="F446" s="2">
        <v>1687.62</v>
      </c>
      <c r="G446">
        <v>15</v>
      </c>
      <c r="H446" t="s">
        <v>29</v>
      </c>
      <c r="I446" s="2">
        <v>498.27</v>
      </c>
      <c r="J446" s="2">
        <v>634.16</v>
      </c>
      <c r="K446" t="s">
        <v>17</v>
      </c>
      <c r="L446" s="5">
        <v>0.11</v>
      </c>
      <c r="M446" t="s">
        <v>31</v>
      </c>
      <c r="N446" t="s">
        <v>22</v>
      </c>
      <c r="O446" t="s">
        <v>48</v>
      </c>
      <c r="P446" s="4">
        <f t="shared" si="12"/>
        <v>8466.0360000000001</v>
      </c>
      <c r="Q446" s="4">
        <f t="shared" si="13"/>
        <v>991.98599999999942</v>
      </c>
      <c r="R446" t="str">
        <f>IF( Table1[[#This Row],[Total Amount after sale]] &gt; 0,"PROFIT","LOSS")</f>
        <v>PROFIT</v>
      </c>
      <c r="S446" s="3">
        <f>(Table1[[#This Row],[Total Amount after sale]]/Table1[[#This Row],[Price after discount]])</f>
        <v>0.11717242874941701</v>
      </c>
    </row>
    <row r="447" spans="1:19" x14ac:dyDescent="0.3">
      <c r="A447">
        <v>1053</v>
      </c>
      <c r="B447" s="1">
        <v>45087</v>
      </c>
      <c r="C447" s="1">
        <f>DATE(YEAR(Table1[[#This Row],[Sale_Date]]), MONTH(Table1[[#This Row],[Sale_Date]]), 1)</f>
        <v>45078</v>
      </c>
      <c r="D447" t="s">
        <v>33</v>
      </c>
      <c r="E447" t="s">
        <v>34</v>
      </c>
      <c r="F447" s="2">
        <v>1554.53</v>
      </c>
      <c r="G447">
        <v>39</v>
      </c>
      <c r="H447" t="s">
        <v>16</v>
      </c>
      <c r="I447" s="2">
        <v>4643.67</v>
      </c>
      <c r="J447" s="2">
        <v>4829.5200000000004</v>
      </c>
      <c r="K447" t="s">
        <v>17</v>
      </c>
      <c r="L447" s="5">
        <v>0.17</v>
      </c>
      <c r="M447" t="s">
        <v>27</v>
      </c>
      <c r="N447" t="s">
        <v>19</v>
      </c>
      <c r="O447" t="s">
        <v>36</v>
      </c>
      <c r="P447" s="4">
        <f t="shared" si="12"/>
        <v>156331.5624</v>
      </c>
      <c r="Q447" s="4">
        <f t="shared" si="13"/>
        <v>-24771.567600000002</v>
      </c>
      <c r="R447" t="str">
        <f>IF( Table1[[#This Row],[Total Amount after sale]] &gt; 0,"PROFIT","LOSS")</f>
        <v>LOSS</v>
      </c>
      <c r="S447" s="3">
        <f>(Table1[[#This Row],[Total Amount after sale]]/Table1[[#This Row],[Price after discount]])</f>
        <v>-0.15845531906485957</v>
      </c>
    </row>
    <row r="448" spans="1:19" x14ac:dyDescent="0.3">
      <c r="A448">
        <v>1082</v>
      </c>
      <c r="B448" s="1">
        <v>45088</v>
      </c>
      <c r="C448" s="1">
        <f>DATE(YEAR(Table1[[#This Row],[Sale_Date]]), MONTH(Table1[[#This Row],[Sale_Date]]), 1)</f>
        <v>45078</v>
      </c>
      <c r="D448" t="s">
        <v>42</v>
      </c>
      <c r="E448" t="s">
        <v>15</v>
      </c>
      <c r="F448" s="2">
        <v>7041.58</v>
      </c>
      <c r="G448">
        <v>17</v>
      </c>
      <c r="H448" t="s">
        <v>16</v>
      </c>
      <c r="I448" s="2">
        <v>890.31</v>
      </c>
      <c r="J448" s="2">
        <v>1159.06</v>
      </c>
      <c r="K448" t="s">
        <v>17</v>
      </c>
      <c r="L448" s="5">
        <v>0.06</v>
      </c>
      <c r="M448" t="s">
        <v>18</v>
      </c>
      <c r="N448" t="s">
        <v>22</v>
      </c>
      <c r="O448" t="s">
        <v>49</v>
      </c>
      <c r="P448" s="4">
        <f t="shared" si="12"/>
        <v>18521.7788</v>
      </c>
      <c r="Q448" s="4">
        <f t="shared" si="13"/>
        <v>3386.5088000000005</v>
      </c>
      <c r="R448" t="str">
        <f>IF( Table1[[#This Row],[Total Amount after sale]] &gt; 0,"PROFIT","LOSS")</f>
        <v>PROFIT</v>
      </c>
      <c r="S448" s="3">
        <f>(Table1[[#This Row],[Total Amount after sale]]/Table1[[#This Row],[Price after discount]])</f>
        <v>0.18283928539304231</v>
      </c>
    </row>
    <row r="449" spans="1:19" x14ac:dyDescent="0.3">
      <c r="A449">
        <v>1085</v>
      </c>
      <c r="B449" s="1">
        <v>45088</v>
      </c>
      <c r="C449" s="1">
        <f>DATE(YEAR(Table1[[#This Row],[Sale_Date]]), MONTH(Table1[[#This Row],[Sale_Date]]), 1)</f>
        <v>45078</v>
      </c>
      <c r="D449" t="s">
        <v>24</v>
      </c>
      <c r="E449" t="s">
        <v>34</v>
      </c>
      <c r="F449" s="2">
        <v>7813.12</v>
      </c>
      <c r="G449">
        <v>8</v>
      </c>
      <c r="H449" t="s">
        <v>26</v>
      </c>
      <c r="I449" s="2">
        <v>3048.48</v>
      </c>
      <c r="J449" s="2">
        <v>3198.54</v>
      </c>
      <c r="K449" t="s">
        <v>17</v>
      </c>
      <c r="L449" s="5">
        <v>0.03</v>
      </c>
      <c r="M449" t="s">
        <v>27</v>
      </c>
      <c r="N449" t="s">
        <v>19</v>
      </c>
      <c r="O449" t="s">
        <v>50</v>
      </c>
      <c r="P449" s="4">
        <f t="shared" si="12"/>
        <v>24820.670399999999</v>
      </c>
      <c r="Q449" s="4">
        <f t="shared" si="13"/>
        <v>432.83039999999892</v>
      </c>
      <c r="R449" t="str">
        <f>IF( Table1[[#This Row],[Total Amount after sale]] &gt; 0,"PROFIT","LOSS")</f>
        <v>PROFIT</v>
      </c>
      <c r="S449" s="3">
        <f>(Table1[[#This Row],[Total Amount after sale]]/Table1[[#This Row],[Price after discount]])</f>
        <v>1.7438304164419303E-2</v>
      </c>
    </row>
    <row r="450" spans="1:19" x14ac:dyDescent="0.3">
      <c r="A450">
        <v>1008</v>
      </c>
      <c r="B450" s="1">
        <v>45089</v>
      </c>
      <c r="C450" s="1">
        <f>DATE(YEAR(Table1[[#This Row],[Sale_Date]]), MONTH(Table1[[#This Row],[Sale_Date]]), 1)</f>
        <v>45078</v>
      </c>
      <c r="D450" t="s">
        <v>42</v>
      </c>
      <c r="E450" t="s">
        <v>34</v>
      </c>
      <c r="F450" s="2">
        <v>7507.02</v>
      </c>
      <c r="G450">
        <v>32</v>
      </c>
      <c r="H450" t="s">
        <v>26</v>
      </c>
      <c r="I450" s="2">
        <v>4298.12</v>
      </c>
      <c r="J450" s="2">
        <v>4446.8999999999996</v>
      </c>
      <c r="K450" t="s">
        <v>30</v>
      </c>
      <c r="L450" s="5">
        <v>0.1</v>
      </c>
      <c r="M450" t="s">
        <v>27</v>
      </c>
      <c r="N450" t="s">
        <v>19</v>
      </c>
      <c r="O450" t="s">
        <v>52</v>
      </c>
      <c r="P450" s="4">
        <f t="shared" ref="P450:P513" si="14" xml:space="preserve"> J450 * (1 - L450) * G450</f>
        <v>128070.71999999999</v>
      </c>
      <c r="Q450" s="4">
        <f t="shared" ref="Q450:Q513" si="15" xml:space="preserve"> (J450 * (1 - L450) - I450) * G450</f>
        <v>-9469.1200000000099</v>
      </c>
      <c r="R450" t="str">
        <f>IF( Table1[[#This Row],[Total Amount after sale]] &gt; 0,"PROFIT","LOSS")</f>
        <v>LOSS</v>
      </c>
      <c r="S450" s="3">
        <f>(Table1[[#This Row],[Total Amount after sale]]/Table1[[#This Row],[Price after discount]])</f>
        <v>-7.3936650000874599E-2</v>
      </c>
    </row>
    <row r="451" spans="1:19" x14ac:dyDescent="0.3">
      <c r="A451">
        <v>1078</v>
      </c>
      <c r="B451" s="1">
        <v>45089</v>
      </c>
      <c r="C451" s="1">
        <f>DATE(YEAR(Table1[[#This Row],[Sale_Date]]), MONTH(Table1[[#This Row],[Sale_Date]]), 1)</f>
        <v>45078</v>
      </c>
      <c r="D451" t="s">
        <v>33</v>
      </c>
      <c r="E451" t="s">
        <v>25</v>
      </c>
      <c r="F451" s="2">
        <v>6136</v>
      </c>
      <c r="G451">
        <v>29</v>
      </c>
      <c r="H451" t="s">
        <v>35</v>
      </c>
      <c r="I451" s="2">
        <v>3177.81</v>
      </c>
      <c r="J451" s="2">
        <v>3222.65</v>
      </c>
      <c r="K451" t="s">
        <v>17</v>
      </c>
      <c r="L451" s="5">
        <v>0.08</v>
      </c>
      <c r="M451" t="s">
        <v>31</v>
      </c>
      <c r="N451" t="s">
        <v>22</v>
      </c>
      <c r="O451" t="s">
        <v>44</v>
      </c>
      <c r="P451" s="4">
        <f t="shared" si="14"/>
        <v>85980.302000000011</v>
      </c>
      <c r="Q451" s="4">
        <f t="shared" si="15"/>
        <v>-6176.1879999999928</v>
      </c>
      <c r="R451" t="str">
        <f>IF( Table1[[#This Row],[Total Amount after sale]] &gt; 0,"PROFIT","LOSS")</f>
        <v>LOSS</v>
      </c>
      <c r="S451" s="3">
        <f>(Table1[[#This Row],[Total Amount after sale]]/Table1[[#This Row],[Price after discount]])</f>
        <v>-7.1832592539626025E-2</v>
      </c>
    </row>
    <row r="452" spans="1:19" x14ac:dyDescent="0.3">
      <c r="A452">
        <v>1097</v>
      </c>
      <c r="B452" s="1">
        <v>45090</v>
      </c>
      <c r="C452" s="1">
        <f>DATE(YEAR(Table1[[#This Row],[Sale_Date]]), MONTH(Table1[[#This Row],[Sale_Date]]), 1)</f>
        <v>45078</v>
      </c>
      <c r="D452" t="s">
        <v>33</v>
      </c>
      <c r="E452" t="s">
        <v>34</v>
      </c>
      <c r="F452" s="2">
        <v>7509.01</v>
      </c>
      <c r="G452">
        <v>10</v>
      </c>
      <c r="H452" t="s">
        <v>16</v>
      </c>
      <c r="I452" s="2">
        <v>2162.9499999999998</v>
      </c>
      <c r="J452" s="2">
        <v>2191.1899999999901</v>
      </c>
      <c r="K452" t="s">
        <v>17</v>
      </c>
      <c r="L452" s="5">
        <v>0.2</v>
      </c>
      <c r="M452" t="s">
        <v>31</v>
      </c>
      <c r="N452" t="s">
        <v>19</v>
      </c>
      <c r="O452" t="s">
        <v>36</v>
      </c>
      <c r="P452" s="4">
        <f t="shared" si="14"/>
        <v>17529.51999999992</v>
      </c>
      <c r="Q452" s="4">
        <f t="shared" si="15"/>
        <v>-4099.9800000000778</v>
      </c>
      <c r="R452" t="str">
        <f>IF( Table1[[#This Row],[Total Amount after sale]] &gt; 0,"PROFIT","LOSS")</f>
        <v>LOSS</v>
      </c>
      <c r="S452" s="3">
        <f>(Table1[[#This Row],[Total Amount after sale]]/Table1[[#This Row],[Price after discount]])</f>
        <v>-0.23389003235685268</v>
      </c>
    </row>
    <row r="453" spans="1:19" x14ac:dyDescent="0.3">
      <c r="A453">
        <v>1030</v>
      </c>
      <c r="B453" s="1">
        <v>45090</v>
      </c>
      <c r="C453" s="1">
        <f>DATE(YEAR(Table1[[#This Row],[Sale_Date]]), MONTH(Table1[[#This Row],[Sale_Date]]), 1)</f>
        <v>45078</v>
      </c>
      <c r="D453" t="s">
        <v>33</v>
      </c>
      <c r="E453" t="s">
        <v>21</v>
      </c>
      <c r="F453" s="2">
        <v>4478.71</v>
      </c>
      <c r="G453">
        <v>5</v>
      </c>
      <c r="H453" t="s">
        <v>29</v>
      </c>
      <c r="I453" s="2">
        <v>3932.14</v>
      </c>
      <c r="J453" s="2">
        <v>4082.7599999999902</v>
      </c>
      <c r="K453" t="s">
        <v>30</v>
      </c>
      <c r="L453" s="5">
        <v>0.26</v>
      </c>
      <c r="M453" t="s">
        <v>31</v>
      </c>
      <c r="N453" t="s">
        <v>19</v>
      </c>
      <c r="O453" t="s">
        <v>37</v>
      </c>
      <c r="P453" s="4">
        <f t="shared" si="14"/>
        <v>15106.211999999963</v>
      </c>
      <c r="Q453" s="4">
        <f t="shared" si="15"/>
        <v>-4554.4880000000358</v>
      </c>
      <c r="R453" t="str">
        <f>IF( Table1[[#This Row],[Total Amount after sale]] &gt; 0,"PROFIT","LOSS")</f>
        <v>LOSS</v>
      </c>
      <c r="S453" s="3">
        <f>(Table1[[#This Row],[Total Amount after sale]]/Table1[[#This Row],[Price after discount]])</f>
        <v>-0.30149768850060138</v>
      </c>
    </row>
    <row r="454" spans="1:19" x14ac:dyDescent="0.3">
      <c r="A454">
        <v>1011</v>
      </c>
      <c r="B454" s="1">
        <v>45091</v>
      </c>
      <c r="C454" s="1">
        <f>DATE(YEAR(Table1[[#This Row],[Sale_Date]]), MONTH(Table1[[#This Row],[Sale_Date]]), 1)</f>
        <v>45078</v>
      </c>
      <c r="D454" t="s">
        <v>42</v>
      </c>
      <c r="E454" t="s">
        <v>25</v>
      </c>
      <c r="F454" s="2">
        <v>4531.97</v>
      </c>
      <c r="G454">
        <v>38</v>
      </c>
      <c r="H454" t="s">
        <v>16</v>
      </c>
      <c r="I454" s="2">
        <v>4456.67</v>
      </c>
      <c r="J454" s="2">
        <v>4642.46</v>
      </c>
      <c r="K454" t="s">
        <v>30</v>
      </c>
      <c r="L454" s="5">
        <v>0.06</v>
      </c>
      <c r="M454" t="s">
        <v>27</v>
      </c>
      <c r="N454" t="s">
        <v>19</v>
      </c>
      <c r="O454" t="s">
        <v>43</v>
      </c>
      <c r="P454" s="4">
        <f t="shared" si="14"/>
        <v>165828.67120000001</v>
      </c>
      <c r="Q454" s="4">
        <f t="shared" si="15"/>
        <v>-3524.7887999999966</v>
      </c>
      <c r="R454" t="str">
        <f>IF( Table1[[#This Row],[Total Amount after sale]] &gt; 0,"PROFIT","LOSS")</f>
        <v>LOSS</v>
      </c>
      <c r="S454" s="3">
        <f>(Table1[[#This Row],[Total Amount after sale]]/Table1[[#This Row],[Price after discount]])</f>
        <v>-2.1255605405828014E-2</v>
      </c>
    </row>
    <row r="455" spans="1:19" x14ac:dyDescent="0.3">
      <c r="A455">
        <v>1008</v>
      </c>
      <c r="B455" s="1">
        <v>45091</v>
      </c>
      <c r="C455" s="1">
        <f>DATE(YEAR(Table1[[#This Row],[Sale_Date]]), MONTH(Table1[[#This Row],[Sale_Date]]), 1)</f>
        <v>45078</v>
      </c>
      <c r="D455" t="s">
        <v>38</v>
      </c>
      <c r="E455" t="s">
        <v>15</v>
      </c>
      <c r="F455" s="2">
        <v>1403.98</v>
      </c>
      <c r="G455">
        <v>24</v>
      </c>
      <c r="H455" t="s">
        <v>29</v>
      </c>
      <c r="I455" s="2">
        <v>1394.17</v>
      </c>
      <c r="J455" s="2">
        <v>1891.02</v>
      </c>
      <c r="K455" t="s">
        <v>30</v>
      </c>
      <c r="L455" s="5">
        <v>0.21</v>
      </c>
      <c r="M455" t="s">
        <v>31</v>
      </c>
      <c r="N455" t="s">
        <v>19</v>
      </c>
      <c r="O455" t="s">
        <v>40</v>
      </c>
      <c r="P455" s="4">
        <f t="shared" si="14"/>
        <v>35853.739199999996</v>
      </c>
      <c r="Q455" s="4">
        <f t="shared" si="15"/>
        <v>2393.6591999999982</v>
      </c>
      <c r="R455" t="str">
        <f>IF( Table1[[#This Row],[Total Amount after sale]] &gt; 0,"PROFIT","LOSS")</f>
        <v>PROFIT</v>
      </c>
      <c r="S455" s="3">
        <f>(Table1[[#This Row],[Total Amount after sale]]/Table1[[#This Row],[Price after discount]])</f>
        <v>6.6761773064941535E-2</v>
      </c>
    </row>
    <row r="456" spans="1:19" x14ac:dyDescent="0.3">
      <c r="A456">
        <v>1007</v>
      </c>
      <c r="B456" s="1">
        <v>45091</v>
      </c>
      <c r="C456" s="1">
        <f>DATE(YEAR(Table1[[#This Row],[Sale_Date]]), MONTH(Table1[[#This Row],[Sale_Date]]), 1)</f>
        <v>45078</v>
      </c>
      <c r="D456" t="s">
        <v>42</v>
      </c>
      <c r="E456" t="s">
        <v>15</v>
      </c>
      <c r="F456" s="2">
        <v>249.6</v>
      </c>
      <c r="G456">
        <v>9</v>
      </c>
      <c r="H456" t="s">
        <v>29</v>
      </c>
      <c r="I456" s="2">
        <v>1481.76</v>
      </c>
      <c r="J456" s="2">
        <v>1668.95</v>
      </c>
      <c r="K456" t="s">
        <v>17</v>
      </c>
      <c r="L456" s="5">
        <v>0.12</v>
      </c>
      <c r="M456" t="s">
        <v>31</v>
      </c>
      <c r="N456" t="s">
        <v>22</v>
      </c>
      <c r="O456" t="s">
        <v>49</v>
      </c>
      <c r="P456" s="4">
        <f t="shared" si="14"/>
        <v>13218.084000000001</v>
      </c>
      <c r="Q456" s="4">
        <f t="shared" si="15"/>
        <v>-117.75599999999849</v>
      </c>
      <c r="R456" t="str">
        <f>IF( Table1[[#This Row],[Total Amount after sale]] &gt; 0,"PROFIT","LOSS")</f>
        <v>LOSS</v>
      </c>
      <c r="S456" s="3">
        <f>(Table1[[#This Row],[Total Amount after sale]]/Table1[[#This Row],[Price after discount]])</f>
        <v>-8.9087041662012801E-3</v>
      </c>
    </row>
    <row r="457" spans="1:19" x14ac:dyDescent="0.3">
      <c r="A457">
        <v>1072</v>
      </c>
      <c r="B457" s="1">
        <v>45092</v>
      </c>
      <c r="C457" s="1">
        <f>DATE(YEAR(Table1[[#This Row],[Sale_Date]]), MONTH(Table1[[#This Row],[Sale_Date]]), 1)</f>
        <v>45078</v>
      </c>
      <c r="D457" t="s">
        <v>24</v>
      </c>
      <c r="E457" t="s">
        <v>15</v>
      </c>
      <c r="F457" s="2">
        <v>6976.49</v>
      </c>
      <c r="G457">
        <v>35</v>
      </c>
      <c r="H457" t="s">
        <v>35</v>
      </c>
      <c r="I457" s="2">
        <v>4349.3599999999997</v>
      </c>
      <c r="J457" s="2">
        <v>4645.17</v>
      </c>
      <c r="K457" t="s">
        <v>17</v>
      </c>
      <c r="L457" s="5">
        <v>0.18</v>
      </c>
      <c r="M457" t="s">
        <v>31</v>
      </c>
      <c r="N457" t="s">
        <v>22</v>
      </c>
      <c r="O457" t="s">
        <v>45</v>
      </c>
      <c r="P457" s="4">
        <f t="shared" si="14"/>
        <v>133316.37900000002</v>
      </c>
      <c r="Q457" s="4">
        <f t="shared" si="15"/>
        <v>-18911.220999999969</v>
      </c>
      <c r="R457" t="str">
        <f>IF( Table1[[#This Row],[Total Amount after sale]] &gt; 0,"PROFIT","LOSS")</f>
        <v>LOSS</v>
      </c>
      <c r="S457" s="3">
        <f>(Table1[[#This Row],[Total Amount after sale]]/Table1[[#This Row],[Price after discount]])</f>
        <v>-0.14185219507049443</v>
      </c>
    </row>
    <row r="458" spans="1:19" x14ac:dyDescent="0.3">
      <c r="A458">
        <v>1075</v>
      </c>
      <c r="B458" s="1">
        <v>45092</v>
      </c>
      <c r="C458" s="1">
        <f>DATE(YEAR(Table1[[#This Row],[Sale_Date]]), MONTH(Table1[[#This Row],[Sale_Date]]), 1)</f>
        <v>45078</v>
      </c>
      <c r="D458" t="s">
        <v>38</v>
      </c>
      <c r="E458" t="s">
        <v>15</v>
      </c>
      <c r="F458" s="2">
        <v>9736.49</v>
      </c>
      <c r="G458">
        <v>26</v>
      </c>
      <c r="H458" t="s">
        <v>16</v>
      </c>
      <c r="I458" s="2">
        <v>1749.34</v>
      </c>
      <c r="J458" s="2">
        <v>1935.25</v>
      </c>
      <c r="K458" t="s">
        <v>30</v>
      </c>
      <c r="L458" s="5">
        <v>0.14000000000000001</v>
      </c>
      <c r="M458" t="s">
        <v>31</v>
      </c>
      <c r="N458" t="s">
        <v>19</v>
      </c>
      <c r="O458" t="s">
        <v>40</v>
      </c>
      <c r="P458" s="4">
        <f t="shared" si="14"/>
        <v>43272.19</v>
      </c>
      <c r="Q458" s="4">
        <f t="shared" si="15"/>
        <v>-2210.6499999999965</v>
      </c>
      <c r="R458" t="str">
        <f>IF( Table1[[#This Row],[Total Amount after sale]] &gt; 0,"PROFIT","LOSS")</f>
        <v>LOSS</v>
      </c>
      <c r="S458" s="3">
        <f>(Table1[[#This Row],[Total Amount after sale]]/Table1[[#This Row],[Price after discount]])</f>
        <v>-5.1087083875348029E-2</v>
      </c>
    </row>
    <row r="459" spans="1:19" x14ac:dyDescent="0.3">
      <c r="A459">
        <v>1038</v>
      </c>
      <c r="B459" s="1">
        <v>45092</v>
      </c>
      <c r="C459" s="1">
        <f>DATE(YEAR(Table1[[#This Row],[Sale_Date]]), MONTH(Table1[[#This Row],[Sale_Date]]), 1)</f>
        <v>45078</v>
      </c>
      <c r="D459" t="s">
        <v>42</v>
      </c>
      <c r="E459" t="s">
        <v>21</v>
      </c>
      <c r="F459" s="2">
        <v>2758.77</v>
      </c>
      <c r="G459">
        <v>42</v>
      </c>
      <c r="H459" t="s">
        <v>26</v>
      </c>
      <c r="I459" s="2">
        <v>1089.0899999999999</v>
      </c>
      <c r="J459" s="2">
        <v>1355.44</v>
      </c>
      <c r="K459" t="s">
        <v>30</v>
      </c>
      <c r="L459" s="5">
        <v>0.06</v>
      </c>
      <c r="M459" t="s">
        <v>18</v>
      </c>
      <c r="N459" t="s">
        <v>22</v>
      </c>
      <c r="O459" t="s">
        <v>51</v>
      </c>
      <c r="P459" s="4">
        <f t="shared" si="14"/>
        <v>53512.771199999996</v>
      </c>
      <c r="Q459" s="4">
        <f t="shared" si="15"/>
        <v>7770.9911999999995</v>
      </c>
      <c r="R459" t="str">
        <f>IF( Table1[[#This Row],[Total Amount after sale]] &gt; 0,"PROFIT","LOSS")</f>
        <v>PROFIT</v>
      </c>
      <c r="S459" s="3">
        <f>(Table1[[#This Row],[Total Amount after sale]]/Table1[[#This Row],[Price after discount]])</f>
        <v>0.14521750650805393</v>
      </c>
    </row>
    <row r="460" spans="1:19" x14ac:dyDescent="0.3">
      <c r="A460">
        <v>1004</v>
      </c>
      <c r="B460" s="1">
        <v>45092</v>
      </c>
      <c r="C460" s="1">
        <f>DATE(YEAR(Table1[[#This Row],[Sale_Date]]), MONTH(Table1[[#This Row],[Sale_Date]]), 1)</f>
        <v>45078</v>
      </c>
      <c r="D460" t="s">
        <v>42</v>
      </c>
      <c r="E460" t="s">
        <v>34</v>
      </c>
      <c r="F460" s="2">
        <v>6277.59</v>
      </c>
      <c r="G460">
        <v>13</v>
      </c>
      <c r="H460" t="s">
        <v>16</v>
      </c>
      <c r="I460" s="2">
        <v>3087.73</v>
      </c>
      <c r="J460" s="2">
        <v>3263.96</v>
      </c>
      <c r="K460" t="s">
        <v>30</v>
      </c>
      <c r="L460" s="5">
        <v>0.24</v>
      </c>
      <c r="M460" t="s">
        <v>18</v>
      </c>
      <c r="N460" t="s">
        <v>22</v>
      </c>
      <c r="O460" t="s">
        <v>52</v>
      </c>
      <c r="P460" s="4">
        <f t="shared" si="14"/>
        <v>32247.924800000004</v>
      </c>
      <c r="Q460" s="4">
        <f t="shared" si="15"/>
        <v>-7892.5651999999973</v>
      </c>
      <c r="R460" t="str">
        <f>IF( Table1[[#This Row],[Total Amount after sale]] &gt; 0,"PROFIT","LOSS")</f>
        <v>LOSS</v>
      </c>
      <c r="S460" s="3">
        <f>(Table1[[#This Row],[Total Amount after sale]]/Table1[[#This Row],[Price after discount]])</f>
        <v>-0.24474645264615588</v>
      </c>
    </row>
    <row r="461" spans="1:19" x14ac:dyDescent="0.3">
      <c r="A461">
        <v>1044</v>
      </c>
      <c r="B461" s="1">
        <v>45094</v>
      </c>
      <c r="C461" s="1">
        <f>DATE(YEAR(Table1[[#This Row],[Sale_Date]]), MONTH(Table1[[#This Row],[Sale_Date]]), 1)</f>
        <v>45078</v>
      </c>
      <c r="D461" t="s">
        <v>33</v>
      </c>
      <c r="E461" t="s">
        <v>15</v>
      </c>
      <c r="F461" s="2">
        <v>2541.38</v>
      </c>
      <c r="G461">
        <v>6</v>
      </c>
      <c r="H461" t="s">
        <v>16</v>
      </c>
      <c r="I461" s="2">
        <v>2388.9499999999998</v>
      </c>
      <c r="J461" s="2">
        <v>2742.97</v>
      </c>
      <c r="K461" t="s">
        <v>17</v>
      </c>
      <c r="L461" s="5">
        <v>0.25</v>
      </c>
      <c r="M461" t="s">
        <v>31</v>
      </c>
      <c r="N461" t="s">
        <v>22</v>
      </c>
      <c r="O461" t="s">
        <v>53</v>
      </c>
      <c r="P461" s="4">
        <f t="shared" si="14"/>
        <v>12343.365</v>
      </c>
      <c r="Q461" s="4">
        <f t="shared" si="15"/>
        <v>-1990.3349999999991</v>
      </c>
      <c r="R461" t="str">
        <f>IF( Table1[[#This Row],[Total Amount after sale]] &gt; 0,"PROFIT","LOSS")</f>
        <v>LOSS</v>
      </c>
      <c r="S461" s="3">
        <f>(Table1[[#This Row],[Total Amount after sale]]/Table1[[#This Row],[Price after discount]])</f>
        <v>-0.16124735839862137</v>
      </c>
    </row>
    <row r="462" spans="1:19" x14ac:dyDescent="0.3">
      <c r="A462">
        <v>1092</v>
      </c>
      <c r="B462" s="1">
        <v>45094</v>
      </c>
      <c r="C462" s="1">
        <f>DATE(YEAR(Table1[[#This Row],[Sale_Date]]), MONTH(Table1[[#This Row],[Sale_Date]]), 1)</f>
        <v>45078</v>
      </c>
      <c r="D462" t="s">
        <v>42</v>
      </c>
      <c r="E462" t="s">
        <v>34</v>
      </c>
      <c r="F462" s="2">
        <v>1632.8</v>
      </c>
      <c r="G462">
        <v>47</v>
      </c>
      <c r="H462" t="s">
        <v>16</v>
      </c>
      <c r="I462" s="2">
        <v>1447.45</v>
      </c>
      <c r="J462" s="2">
        <v>1703.02</v>
      </c>
      <c r="K462" t="s">
        <v>17</v>
      </c>
      <c r="L462" s="5">
        <v>0.12</v>
      </c>
      <c r="M462" t="s">
        <v>27</v>
      </c>
      <c r="N462" t="s">
        <v>22</v>
      </c>
      <c r="O462" t="s">
        <v>52</v>
      </c>
      <c r="P462" s="4">
        <f t="shared" si="14"/>
        <v>70436.907200000001</v>
      </c>
      <c r="Q462" s="4">
        <f t="shared" si="15"/>
        <v>2406.7571999999982</v>
      </c>
      <c r="R462" t="str">
        <f>IF( Table1[[#This Row],[Total Amount after sale]] &gt; 0,"PROFIT","LOSS")</f>
        <v>PROFIT</v>
      </c>
      <c r="S462" s="3">
        <f>(Table1[[#This Row],[Total Amount after sale]]/Table1[[#This Row],[Price after discount]])</f>
        <v>3.4168978958235667E-2</v>
      </c>
    </row>
    <row r="463" spans="1:19" x14ac:dyDescent="0.3">
      <c r="A463">
        <v>1092</v>
      </c>
      <c r="B463" s="1">
        <v>45094</v>
      </c>
      <c r="C463" s="1">
        <f>DATE(YEAR(Table1[[#This Row],[Sale_Date]]), MONTH(Table1[[#This Row],[Sale_Date]]), 1)</f>
        <v>45078</v>
      </c>
      <c r="D463" t="s">
        <v>24</v>
      </c>
      <c r="E463" t="s">
        <v>34</v>
      </c>
      <c r="F463" s="2">
        <v>862.02</v>
      </c>
      <c r="G463">
        <v>21</v>
      </c>
      <c r="H463" t="s">
        <v>29</v>
      </c>
      <c r="I463" s="2">
        <v>2792.2</v>
      </c>
      <c r="J463" s="2">
        <v>3254.5499999999902</v>
      </c>
      <c r="K463" t="s">
        <v>30</v>
      </c>
      <c r="L463" s="5">
        <v>0.02</v>
      </c>
      <c r="M463" t="s">
        <v>31</v>
      </c>
      <c r="N463" t="s">
        <v>22</v>
      </c>
      <c r="O463" t="s">
        <v>50</v>
      </c>
      <c r="P463" s="4">
        <f t="shared" si="14"/>
        <v>66978.638999999792</v>
      </c>
      <c r="Q463" s="4">
        <f t="shared" si="15"/>
        <v>8342.4389999998002</v>
      </c>
      <c r="R463" t="str">
        <f>IF( Table1[[#This Row],[Total Amount after sale]] &gt; 0,"PROFIT","LOSS")</f>
        <v>PROFIT</v>
      </c>
      <c r="S463" s="3">
        <f>(Table1[[#This Row],[Total Amount after sale]]/Table1[[#This Row],[Price after discount]])</f>
        <v>0.12455372525559717</v>
      </c>
    </row>
    <row r="464" spans="1:19" x14ac:dyDescent="0.3">
      <c r="A464">
        <v>1038</v>
      </c>
      <c r="B464" s="1">
        <v>45095</v>
      </c>
      <c r="C464" s="1">
        <f>DATE(YEAR(Table1[[#This Row],[Sale_Date]]), MONTH(Table1[[#This Row],[Sale_Date]]), 1)</f>
        <v>45078</v>
      </c>
      <c r="D464" t="s">
        <v>38</v>
      </c>
      <c r="E464" t="s">
        <v>21</v>
      </c>
      <c r="F464" s="2">
        <v>2792.27</v>
      </c>
      <c r="G464">
        <v>24</v>
      </c>
      <c r="H464" t="s">
        <v>29</v>
      </c>
      <c r="I464" s="2">
        <v>1543.91</v>
      </c>
      <c r="J464" s="2">
        <v>1862.88</v>
      </c>
      <c r="K464" t="s">
        <v>30</v>
      </c>
      <c r="L464" s="5">
        <v>0.09</v>
      </c>
      <c r="M464" t="s">
        <v>27</v>
      </c>
      <c r="N464" t="s">
        <v>19</v>
      </c>
      <c r="O464" t="s">
        <v>41</v>
      </c>
      <c r="P464" s="4">
        <f t="shared" si="14"/>
        <v>40685.299200000001</v>
      </c>
      <c r="Q464" s="4">
        <f t="shared" si="15"/>
        <v>3631.4591999999993</v>
      </c>
      <c r="R464" t="str">
        <f>IF( Table1[[#This Row],[Total Amount after sale]] &gt; 0,"PROFIT","LOSS")</f>
        <v>PROFIT</v>
      </c>
      <c r="S464" s="3">
        <f>(Table1[[#This Row],[Total Amount after sale]]/Table1[[#This Row],[Price after discount]])</f>
        <v>8.9257281411365394E-2</v>
      </c>
    </row>
    <row r="465" spans="1:19" x14ac:dyDescent="0.3">
      <c r="A465">
        <v>1002</v>
      </c>
      <c r="B465" s="1">
        <v>45096</v>
      </c>
      <c r="C465" s="1">
        <f>DATE(YEAR(Table1[[#This Row],[Sale_Date]]), MONTH(Table1[[#This Row],[Sale_Date]]), 1)</f>
        <v>45078</v>
      </c>
      <c r="D465" t="s">
        <v>38</v>
      </c>
      <c r="E465" t="s">
        <v>21</v>
      </c>
      <c r="F465" s="2">
        <v>1263.76</v>
      </c>
      <c r="G465">
        <v>18</v>
      </c>
      <c r="H465" t="s">
        <v>26</v>
      </c>
      <c r="I465" s="2">
        <v>117.63</v>
      </c>
      <c r="J465" s="2">
        <v>576.44000000000005</v>
      </c>
      <c r="K465" t="s">
        <v>30</v>
      </c>
      <c r="L465" s="5">
        <v>0.18</v>
      </c>
      <c r="M465" t="s">
        <v>31</v>
      </c>
      <c r="N465" t="s">
        <v>22</v>
      </c>
      <c r="O465" t="s">
        <v>41</v>
      </c>
      <c r="P465" s="4">
        <f t="shared" si="14"/>
        <v>8508.2544000000016</v>
      </c>
      <c r="Q465" s="4">
        <f t="shared" si="15"/>
        <v>6390.9144000000015</v>
      </c>
      <c r="R465" t="str">
        <f>IF( Table1[[#This Row],[Total Amount after sale]] &gt; 0,"PROFIT","LOSS")</f>
        <v>PROFIT</v>
      </c>
      <c r="S465" s="3">
        <f>(Table1[[#This Row],[Total Amount after sale]]/Table1[[#This Row],[Price after discount]])</f>
        <v>0.75114284311950053</v>
      </c>
    </row>
    <row r="466" spans="1:19" x14ac:dyDescent="0.3">
      <c r="A466">
        <v>1029</v>
      </c>
      <c r="B466" s="1">
        <v>45096</v>
      </c>
      <c r="C466" s="1">
        <f>DATE(YEAR(Table1[[#This Row],[Sale_Date]]), MONTH(Table1[[#This Row],[Sale_Date]]), 1)</f>
        <v>45078</v>
      </c>
      <c r="D466" t="s">
        <v>38</v>
      </c>
      <c r="E466" t="s">
        <v>25</v>
      </c>
      <c r="F466" s="2">
        <v>8064.5</v>
      </c>
      <c r="G466">
        <v>27</v>
      </c>
      <c r="H466" t="s">
        <v>26</v>
      </c>
      <c r="I466" s="2">
        <v>3196.38</v>
      </c>
      <c r="J466" s="2">
        <v>3596.64</v>
      </c>
      <c r="K466" t="s">
        <v>30</v>
      </c>
      <c r="L466" s="5">
        <v>0.01</v>
      </c>
      <c r="M466" t="s">
        <v>18</v>
      </c>
      <c r="N466" t="s">
        <v>22</v>
      </c>
      <c r="O466" t="s">
        <v>39</v>
      </c>
      <c r="P466" s="4">
        <f t="shared" si="14"/>
        <v>96138.187199999986</v>
      </c>
      <c r="Q466" s="4">
        <f t="shared" si="15"/>
        <v>9835.9271999999874</v>
      </c>
      <c r="R466" t="str">
        <f>IF( Table1[[#This Row],[Total Amount after sale]] &gt; 0,"PROFIT","LOSS")</f>
        <v>PROFIT</v>
      </c>
      <c r="S466" s="3">
        <f>(Table1[[#This Row],[Total Amount after sale]]/Table1[[#This Row],[Price after discount]])</f>
        <v>0.10231030443228484</v>
      </c>
    </row>
    <row r="467" spans="1:19" x14ac:dyDescent="0.3">
      <c r="A467">
        <v>1045</v>
      </c>
      <c r="B467" s="1">
        <v>45096</v>
      </c>
      <c r="C467" s="1">
        <f>DATE(YEAR(Table1[[#This Row],[Sale_Date]]), MONTH(Table1[[#This Row],[Sale_Date]]), 1)</f>
        <v>45078</v>
      </c>
      <c r="D467" t="s">
        <v>24</v>
      </c>
      <c r="E467" t="s">
        <v>15</v>
      </c>
      <c r="F467" s="2">
        <v>2768.17</v>
      </c>
      <c r="G467">
        <v>36</v>
      </c>
      <c r="H467" t="s">
        <v>35</v>
      </c>
      <c r="I467" s="2">
        <v>3835.64</v>
      </c>
      <c r="J467" s="2">
        <v>4076.77</v>
      </c>
      <c r="K467" t="s">
        <v>17</v>
      </c>
      <c r="L467" s="5">
        <v>0.1</v>
      </c>
      <c r="M467" t="s">
        <v>31</v>
      </c>
      <c r="N467" t="s">
        <v>22</v>
      </c>
      <c r="O467" t="s">
        <v>45</v>
      </c>
      <c r="P467" s="4">
        <f t="shared" si="14"/>
        <v>132087.348</v>
      </c>
      <c r="Q467" s="4">
        <f t="shared" si="15"/>
        <v>-5995.6920000000009</v>
      </c>
      <c r="R467" t="str">
        <f>IF( Table1[[#This Row],[Total Amount after sale]] &gt; 0,"PROFIT","LOSS")</f>
        <v>LOSS</v>
      </c>
      <c r="S467" s="3">
        <f>(Table1[[#This Row],[Total Amount after sale]]/Table1[[#This Row],[Price after discount]])</f>
        <v>-4.5391872051212666E-2</v>
      </c>
    </row>
    <row r="468" spans="1:19" x14ac:dyDescent="0.3">
      <c r="A468">
        <v>1058</v>
      </c>
      <c r="B468" s="1">
        <v>45097</v>
      </c>
      <c r="C468" s="1">
        <f>DATE(YEAR(Table1[[#This Row],[Sale_Date]]), MONTH(Table1[[#This Row],[Sale_Date]]), 1)</f>
        <v>45078</v>
      </c>
      <c r="D468" t="s">
        <v>38</v>
      </c>
      <c r="E468" t="s">
        <v>21</v>
      </c>
      <c r="F468" s="2">
        <v>2896.54</v>
      </c>
      <c r="G468">
        <v>48</v>
      </c>
      <c r="H468" t="s">
        <v>29</v>
      </c>
      <c r="I468" s="2">
        <v>2614.48</v>
      </c>
      <c r="J468" s="2">
        <v>3049.04</v>
      </c>
      <c r="K468" t="s">
        <v>30</v>
      </c>
      <c r="L468" s="5">
        <v>0.1</v>
      </c>
      <c r="M468" t="s">
        <v>31</v>
      </c>
      <c r="N468" t="s">
        <v>22</v>
      </c>
      <c r="O468" t="s">
        <v>41</v>
      </c>
      <c r="P468" s="4">
        <f t="shared" si="14"/>
        <v>131718.52799999999</v>
      </c>
      <c r="Q468" s="4">
        <f t="shared" si="15"/>
        <v>6223.4879999999976</v>
      </c>
      <c r="R468" t="str">
        <f>IF( Table1[[#This Row],[Total Amount after sale]] &gt; 0,"PROFIT","LOSS")</f>
        <v>PROFIT</v>
      </c>
      <c r="S468" s="3">
        <f>(Table1[[#This Row],[Total Amount after sale]]/Table1[[#This Row],[Price after discount]])</f>
        <v>4.7248387106178395E-2</v>
      </c>
    </row>
    <row r="469" spans="1:19" x14ac:dyDescent="0.3">
      <c r="A469">
        <v>1012</v>
      </c>
      <c r="B469" s="1">
        <v>45097</v>
      </c>
      <c r="C469" s="1">
        <f>DATE(YEAR(Table1[[#This Row],[Sale_Date]]), MONTH(Table1[[#This Row],[Sale_Date]]), 1)</f>
        <v>45078</v>
      </c>
      <c r="D469" t="s">
        <v>42</v>
      </c>
      <c r="E469" t="s">
        <v>25</v>
      </c>
      <c r="F469" s="2">
        <v>2019.24</v>
      </c>
      <c r="G469">
        <v>47</v>
      </c>
      <c r="H469" t="s">
        <v>29</v>
      </c>
      <c r="I469" s="2">
        <v>325.75</v>
      </c>
      <c r="J469" s="2">
        <v>803.71</v>
      </c>
      <c r="K469" t="s">
        <v>30</v>
      </c>
      <c r="L469" s="5">
        <v>0.12</v>
      </c>
      <c r="M469" t="s">
        <v>27</v>
      </c>
      <c r="N469" t="s">
        <v>22</v>
      </c>
      <c r="O469" t="s">
        <v>43</v>
      </c>
      <c r="P469" s="4">
        <f t="shared" si="14"/>
        <v>33241.445599999999</v>
      </c>
      <c r="Q469" s="4">
        <f t="shared" si="15"/>
        <v>17931.195600000003</v>
      </c>
      <c r="R469" t="str">
        <f>IF( Table1[[#This Row],[Total Amount after sale]] &gt; 0,"PROFIT","LOSS")</f>
        <v>PROFIT</v>
      </c>
      <c r="S469" s="3">
        <f>(Table1[[#This Row],[Total Amount after sale]]/Table1[[#This Row],[Price after discount]])</f>
        <v>0.53942285831275649</v>
      </c>
    </row>
    <row r="470" spans="1:19" x14ac:dyDescent="0.3">
      <c r="A470">
        <v>1018</v>
      </c>
      <c r="B470" s="1">
        <v>45098</v>
      </c>
      <c r="C470" s="1">
        <f>DATE(YEAR(Table1[[#This Row],[Sale_Date]]), MONTH(Table1[[#This Row],[Sale_Date]]), 1)</f>
        <v>45078</v>
      </c>
      <c r="D470" t="s">
        <v>38</v>
      </c>
      <c r="E470" t="s">
        <v>15</v>
      </c>
      <c r="F470" s="2">
        <v>750.38</v>
      </c>
      <c r="G470">
        <v>28</v>
      </c>
      <c r="H470" t="s">
        <v>29</v>
      </c>
      <c r="I470" s="2">
        <v>1006.14</v>
      </c>
      <c r="J470" s="2">
        <v>1043.45</v>
      </c>
      <c r="K470" t="s">
        <v>30</v>
      </c>
      <c r="L470" s="5">
        <v>0.15</v>
      </c>
      <c r="M470" t="s">
        <v>27</v>
      </c>
      <c r="N470" t="s">
        <v>22</v>
      </c>
      <c r="O470" t="s">
        <v>40</v>
      </c>
      <c r="P470" s="4">
        <f t="shared" si="14"/>
        <v>24834.11</v>
      </c>
      <c r="Q470" s="4">
        <f t="shared" si="15"/>
        <v>-3337.8099999999995</v>
      </c>
      <c r="R470" t="str">
        <f>IF( Table1[[#This Row],[Total Amount after sale]] &gt; 0,"PROFIT","LOSS")</f>
        <v>LOSS</v>
      </c>
      <c r="S470" s="3">
        <f>(Table1[[#This Row],[Total Amount after sale]]/Table1[[#This Row],[Price after discount]])</f>
        <v>-0.13440425286027965</v>
      </c>
    </row>
    <row r="471" spans="1:19" x14ac:dyDescent="0.3">
      <c r="A471">
        <v>1064</v>
      </c>
      <c r="B471" s="1">
        <v>45098</v>
      </c>
      <c r="C471" s="1">
        <f>DATE(YEAR(Table1[[#This Row],[Sale_Date]]), MONTH(Table1[[#This Row],[Sale_Date]]), 1)</f>
        <v>45078</v>
      </c>
      <c r="D471" t="s">
        <v>14</v>
      </c>
      <c r="E471" t="s">
        <v>21</v>
      </c>
      <c r="F471" s="2">
        <v>9215.59</v>
      </c>
      <c r="G471">
        <v>46</v>
      </c>
      <c r="H471" t="s">
        <v>35</v>
      </c>
      <c r="I471" s="2">
        <v>984.53</v>
      </c>
      <c r="J471" s="2">
        <v>1138.49</v>
      </c>
      <c r="K471" t="s">
        <v>30</v>
      </c>
      <c r="L471" s="5">
        <v>0.04</v>
      </c>
      <c r="M471" t="s">
        <v>27</v>
      </c>
      <c r="N471" t="s">
        <v>19</v>
      </c>
      <c r="O471" t="s">
        <v>23</v>
      </c>
      <c r="P471" s="4">
        <f t="shared" si="14"/>
        <v>50275.718399999998</v>
      </c>
      <c r="Q471" s="4">
        <f t="shared" si="15"/>
        <v>4987.3383999999987</v>
      </c>
      <c r="R471" t="str">
        <f>IF( Table1[[#This Row],[Total Amount after sale]] &gt; 0,"PROFIT","LOSS")</f>
        <v>PROFIT</v>
      </c>
      <c r="S471" s="3">
        <f>(Table1[[#This Row],[Total Amount after sale]]/Table1[[#This Row],[Price after discount]])</f>
        <v>9.9199744105496437E-2</v>
      </c>
    </row>
    <row r="472" spans="1:19" x14ac:dyDescent="0.3">
      <c r="A472">
        <v>1004</v>
      </c>
      <c r="B472" s="1">
        <v>45099</v>
      </c>
      <c r="C472" s="1">
        <f>DATE(YEAR(Table1[[#This Row],[Sale_Date]]), MONTH(Table1[[#This Row],[Sale_Date]]), 1)</f>
        <v>45078</v>
      </c>
      <c r="D472" t="s">
        <v>38</v>
      </c>
      <c r="E472" t="s">
        <v>25</v>
      </c>
      <c r="F472" s="2">
        <v>7762.51</v>
      </c>
      <c r="G472">
        <v>39</v>
      </c>
      <c r="H472" t="s">
        <v>35</v>
      </c>
      <c r="I472" s="2">
        <v>2416.89</v>
      </c>
      <c r="J472" s="2">
        <v>2778.3999999999901</v>
      </c>
      <c r="K472" t="s">
        <v>17</v>
      </c>
      <c r="L472" s="5">
        <v>0.05</v>
      </c>
      <c r="M472" t="s">
        <v>18</v>
      </c>
      <c r="N472" t="s">
        <v>19</v>
      </c>
      <c r="O472" t="s">
        <v>39</v>
      </c>
      <c r="P472" s="4">
        <f t="shared" si="14"/>
        <v>102939.71999999962</v>
      </c>
      <c r="Q472" s="4">
        <f t="shared" si="15"/>
        <v>8681.0099999996328</v>
      </c>
      <c r="R472" t="str">
        <f>IF( Table1[[#This Row],[Total Amount after sale]] &gt; 0,"PROFIT","LOSS")</f>
        <v>PROFIT</v>
      </c>
      <c r="S472" s="3">
        <f>(Table1[[#This Row],[Total Amount after sale]]/Table1[[#This Row],[Price after discount]])</f>
        <v>8.4331004591810282E-2</v>
      </c>
    </row>
    <row r="473" spans="1:19" x14ac:dyDescent="0.3">
      <c r="A473">
        <v>1084</v>
      </c>
      <c r="B473" s="1">
        <v>45099</v>
      </c>
      <c r="C473" s="1">
        <f>DATE(YEAR(Table1[[#This Row],[Sale_Date]]), MONTH(Table1[[#This Row],[Sale_Date]]), 1)</f>
        <v>45078</v>
      </c>
      <c r="D473" t="s">
        <v>38</v>
      </c>
      <c r="E473" t="s">
        <v>15</v>
      </c>
      <c r="F473" s="2">
        <v>6658.1</v>
      </c>
      <c r="G473">
        <v>49</v>
      </c>
      <c r="H473" t="s">
        <v>16</v>
      </c>
      <c r="I473" s="2">
        <v>4291.97</v>
      </c>
      <c r="J473" s="2">
        <v>4645.6400000000003</v>
      </c>
      <c r="K473" t="s">
        <v>17</v>
      </c>
      <c r="L473" s="5">
        <v>0.26</v>
      </c>
      <c r="M473" t="s">
        <v>31</v>
      </c>
      <c r="N473" t="s">
        <v>19</v>
      </c>
      <c r="O473" t="s">
        <v>40</v>
      </c>
      <c r="P473" s="4">
        <f t="shared" si="14"/>
        <v>168450.90640000001</v>
      </c>
      <c r="Q473" s="4">
        <f t="shared" si="15"/>
        <v>-41855.623600000014</v>
      </c>
      <c r="R473" t="str">
        <f>IF( Table1[[#This Row],[Total Amount after sale]] &gt; 0,"PROFIT","LOSS")</f>
        <v>LOSS</v>
      </c>
      <c r="S473" s="3">
        <f>(Table1[[#This Row],[Total Amount after sale]]/Table1[[#This Row],[Price after discount]])</f>
        <v>-0.24847372148067001</v>
      </c>
    </row>
    <row r="474" spans="1:19" x14ac:dyDescent="0.3">
      <c r="A474">
        <v>1063</v>
      </c>
      <c r="B474" s="1">
        <v>45099</v>
      </c>
      <c r="C474" s="1">
        <f>DATE(YEAR(Table1[[#This Row],[Sale_Date]]), MONTH(Table1[[#This Row],[Sale_Date]]), 1)</f>
        <v>45078</v>
      </c>
      <c r="D474" t="s">
        <v>14</v>
      </c>
      <c r="E474" t="s">
        <v>25</v>
      </c>
      <c r="F474" s="2">
        <v>5917.1</v>
      </c>
      <c r="G474">
        <v>25</v>
      </c>
      <c r="H474" t="s">
        <v>35</v>
      </c>
      <c r="I474" s="2">
        <v>3997.1</v>
      </c>
      <c r="J474" s="2">
        <v>4212.6499999999996</v>
      </c>
      <c r="K474" t="s">
        <v>30</v>
      </c>
      <c r="L474" s="5">
        <v>0.22</v>
      </c>
      <c r="M474" t="s">
        <v>18</v>
      </c>
      <c r="N474" t="s">
        <v>19</v>
      </c>
      <c r="O474" t="s">
        <v>32</v>
      </c>
      <c r="P474" s="4">
        <f t="shared" si="14"/>
        <v>82146.674999999988</v>
      </c>
      <c r="Q474" s="4">
        <f t="shared" si="15"/>
        <v>-17780.825000000004</v>
      </c>
      <c r="R474" t="str">
        <f>IF( Table1[[#This Row],[Total Amount after sale]] &gt; 0,"PROFIT","LOSS")</f>
        <v>LOSS</v>
      </c>
      <c r="S474" s="3">
        <f>(Table1[[#This Row],[Total Amount after sale]]/Table1[[#This Row],[Price after discount]])</f>
        <v>-0.21645215707148227</v>
      </c>
    </row>
    <row r="475" spans="1:19" x14ac:dyDescent="0.3">
      <c r="A475">
        <v>1079</v>
      </c>
      <c r="B475" s="1">
        <v>45099</v>
      </c>
      <c r="C475" s="1">
        <f>DATE(YEAR(Table1[[#This Row],[Sale_Date]]), MONTH(Table1[[#This Row],[Sale_Date]]), 1)</f>
        <v>45078</v>
      </c>
      <c r="D475" t="s">
        <v>38</v>
      </c>
      <c r="E475" t="s">
        <v>34</v>
      </c>
      <c r="F475" s="2">
        <v>2265.23</v>
      </c>
      <c r="G475">
        <v>49</v>
      </c>
      <c r="H475" t="s">
        <v>29</v>
      </c>
      <c r="I475" s="2">
        <v>437.59</v>
      </c>
      <c r="J475" s="2">
        <v>675.54</v>
      </c>
      <c r="K475" t="s">
        <v>17</v>
      </c>
      <c r="L475" s="5">
        <v>0.1</v>
      </c>
      <c r="M475" t="s">
        <v>18</v>
      </c>
      <c r="N475" t="s">
        <v>19</v>
      </c>
      <c r="O475" t="s">
        <v>48</v>
      </c>
      <c r="P475" s="4">
        <f t="shared" si="14"/>
        <v>29791.313999999998</v>
      </c>
      <c r="Q475" s="4">
        <f t="shared" si="15"/>
        <v>8349.4040000000005</v>
      </c>
      <c r="R475" t="str">
        <f>IF( Table1[[#This Row],[Total Amount after sale]] &gt; 0,"PROFIT","LOSS")</f>
        <v>PROFIT</v>
      </c>
      <c r="S475" s="3">
        <f>(Table1[[#This Row],[Total Amount after sale]]/Table1[[#This Row],[Price after discount]])</f>
        <v>0.28026303237245598</v>
      </c>
    </row>
    <row r="476" spans="1:19" x14ac:dyDescent="0.3">
      <c r="A476">
        <v>1054</v>
      </c>
      <c r="B476" s="1">
        <v>45100</v>
      </c>
      <c r="C476" s="1">
        <f>DATE(YEAR(Table1[[#This Row],[Sale_Date]]), MONTH(Table1[[#This Row],[Sale_Date]]), 1)</f>
        <v>45078</v>
      </c>
      <c r="D476" t="s">
        <v>24</v>
      </c>
      <c r="E476" t="s">
        <v>21</v>
      </c>
      <c r="F476" s="2">
        <v>4291.0200000000004</v>
      </c>
      <c r="G476">
        <v>27</v>
      </c>
      <c r="H476" t="s">
        <v>35</v>
      </c>
      <c r="I476" s="2">
        <v>1456.09</v>
      </c>
      <c r="J476" s="2">
        <v>1510.4299999999901</v>
      </c>
      <c r="K476" t="s">
        <v>17</v>
      </c>
      <c r="L476" s="5">
        <v>0.17</v>
      </c>
      <c r="M476" t="s">
        <v>18</v>
      </c>
      <c r="N476" t="s">
        <v>22</v>
      </c>
      <c r="O476" t="s">
        <v>47</v>
      </c>
      <c r="P476" s="4">
        <f t="shared" si="14"/>
        <v>33848.736299999779</v>
      </c>
      <c r="Q476" s="4">
        <f t="shared" si="15"/>
        <v>-5465.6937000002199</v>
      </c>
      <c r="R476" t="str">
        <f>IF( Table1[[#This Row],[Total Amount after sale]] &gt; 0,"PROFIT","LOSS")</f>
        <v>LOSS</v>
      </c>
      <c r="S476" s="3">
        <f>(Table1[[#This Row],[Total Amount after sale]]/Table1[[#This Row],[Price after discount]])</f>
        <v>-0.16147408433679858</v>
      </c>
    </row>
    <row r="477" spans="1:19" x14ac:dyDescent="0.3">
      <c r="A477">
        <v>1067</v>
      </c>
      <c r="B477" s="1">
        <v>45100</v>
      </c>
      <c r="C477" s="1">
        <f>DATE(YEAR(Table1[[#This Row],[Sale_Date]]), MONTH(Table1[[#This Row],[Sale_Date]]), 1)</f>
        <v>45078</v>
      </c>
      <c r="D477" t="s">
        <v>14</v>
      </c>
      <c r="E477" t="s">
        <v>15</v>
      </c>
      <c r="F477" s="2">
        <v>914.5</v>
      </c>
      <c r="G477">
        <v>11</v>
      </c>
      <c r="H477" t="s">
        <v>16</v>
      </c>
      <c r="I477" s="2">
        <v>3435.68</v>
      </c>
      <c r="J477" s="2">
        <v>3552.6299999999901</v>
      </c>
      <c r="K477" t="s">
        <v>30</v>
      </c>
      <c r="L477" s="5">
        <v>0.27</v>
      </c>
      <c r="M477" t="s">
        <v>18</v>
      </c>
      <c r="N477" t="s">
        <v>22</v>
      </c>
      <c r="O477" t="s">
        <v>20</v>
      </c>
      <c r="P477" s="4">
        <f t="shared" si="14"/>
        <v>28527.618899999918</v>
      </c>
      <c r="Q477" s="4">
        <f t="shared" si="15"/>
        <v>-9264.8611000000801</v>
      </c>
      <c r="R477" t="str">
        <f>IF( Table1[[#This Row],[Total Amount after sale]] &gt; 0,"PROFIT","LOSS")</f>
        <v>LOSS</v>
      </c>
      <c r="S477" s="3">
        <f>(Table1[[#This Row],[Total Amount after sale]]/Table1[[#This Row],[Price after discount]])</f>
        <v>-0.32476811795884258</v>
      </c>
    </row>
    <row r="478" spans="1:19" x14ac:dyDescent="0.3">
      <c r="A478">
        <v>1024</v>
      </c>
      <c r="B478" s="1">
        <v>45101</v>
      </c>
      <c r="C478" s="1">
        <f>DATE(YEAR(Table1[[#This Row],[Sale_Date]]), MONTH(Table1[[#This Row],[Sale_Date]]), 1)</f>
        <v>45078</v>
      </c>
      <c r="D478" t="s">
        <v>42</v>
      </c>
      <c r="E478" t="s">
        <v>15</v>
      </c>
      <c r="F478" s="2">
        <v>8292.31</v>
      </c>
      <c r="G478">
        <v>43</v>
      </c>
      <c r="H478" t="s">
        <v>29</v>
      </c>
      <c r="I478" s="2">
        <v>3105.24</v>
      </c>
      <c r="J478" s="2">
        <v>3246.33</v>
      </c>
      <c r="K478" t="s">
        <v>30</v>
      </c>
      <c r="L478" s="5">
        <v>0.25</v>
      </c>
      <c r="M478" t="s">
        <v>18</v>
      </c>
      <c r="N478" t="s">
        <v>19</v>
      </c>
      <c r="O478" t="s">
        <v>49</v>
      </c>
      <c r="P478" s="4">
        <f t="shared" si="14"/>
        <v>104694.1425</v>
      </c>
      <c r="Q478" s="4">
        <f t="shared" si="15"/>
        <v>-28831.177499999994</v>
      </c>
      <c r="R478" t="str">
        <f>IF( Table1[[#This Row],[Total Amount after sale]] &gt; 0,"PROFIT","LOSS")</f>
        <v>LOSS</v>
      </c>
      <c r="S478" s="3">
        <f>(Table1[[#This Row],[Total Amount after sale]]/Table1[[#This Row],[Price after discount]])</f>
        <v>-0.27538481916502627</v>
      </c>
    </row>
    <row r="479" spans="1:19" x14ac:dyDescent="0.3">
      <c r="A479">
        <v>1066</v>
      </c>
      <c r="B479" s="1">
        <v>45101</v>
      </c>
      <c r="C479" s="1">
        <f>DATE(YEAR(Table1[[#This Row],[Sale_Date]]), MONTH(Table1[[#This Row],[Sale_Date]]), 1)</f>
        <v>45078</v>
      </c>
      <c r="D479" t="s">
        <v>14</v>
      </c>
      <c r="E479" t="s">
        <v>21</v>
      </c>
      <c r="F479" s="2">
        <v>5851.41</v>
      </c>
      <c r="G479">
        <v>13</v>
      </c>
      <c r="H479" t="s">
        <v>16</v>
      </c>
      <c r="I479" s="2">
        <v>4133.92</v>
      </c>
      <c r="J479" s="2">
        <v>4358.37</v>
      </c>
      <c r="K479" t="s">
        <v>30</v>
      </c>
      <c r="L479" s="5">
        <v>0.13</v>
      </c>
      <c r="M479" t="s">
        <v>18</v>
      </c>
      <c r="N479" t="s">
        <v>22</v>
      </c>
      <c r="O479" t="s">
        <v>23</v>
      </c>
      <c r="P479" s="4">
        <f t="shared" si="14"/>
        <v>49293.164700000001</v>
      </c>
      <c r="Q479" s="4">
        <f t="shared" si="15"/>
        <v>-4447.7953000000016</v>
      </c>
      <c r="R479" t="str">
        <f>IF( Table1[[#This Row],[Total Amount after sale]] &gt; 0,"PROFIT","LOSS")</f>
        <v>LOSS</v>
      </c>
      <c r="S479" s="3">
        <f>(Table1[[#This Row],[Total Amount after sale]]/Table1[[#This Row],[Price after discount]])</f>
        <v>-9.0231481932017271E-2</v>
      </c>
    </row>
    <row r="480" spans="1:19" x14ac:dyDescent="0.3">
      <c r="A480">
        <v>1021</v>
      </c>
      <c r="B480" s="1">
        <v>45101</v>
      </c>
      <c r="C480" s="1">
        <f>DATE(YEAR(Table1[[#This Row],[Sale_Date]]), MONTH(Table1[[#This Row],[Sale_Date]]), 1)</f>
        <v>45078</v>
      </c>
      <c r="D480" t="s">
        <v>42</v>
      </c>
      <c r="E480" t="s">
        <v>21</v>
      </c>
      <c r="F480" s="2">
        <v>9422.75</v>
      </c>
      <c r="G480">
        <v>24</v>
      </c>
      <c r="H480" t="s">
        <v>35</v>
      </c>
      <c r="I480" s="2">
        <v>4916.17</v>
      </c>
      <c r="J480" s="2">
        <v>5309.32</v>
      </c>
      <c r="K480" t="s">
        <v>17</v>
      </c>
      <c r="L480" s="5">
        <v>0.19</v>
      </c>
      <c r="M480" t="s">
        <v>31</v>
      </c>
      <c r="N480" t="s">
        <v>19</v>
      </c>
      <c r="O480" t="s">
        <v>51</v>
      </c>
      <c r="P480" s="4">
        <f t="shared" si="14"/>
        <v>103213.1808</v>
      </c>
      <c r="Q480" s="4">
        <f t="shared" si="15"/>
        <v>-14774.899199999993</v>
      </c>
      <c r="R480" t="str">
        <f>IF( Table1[[#This Row],[Total Amount after sale]] &gt; 0,"PROFIT","LOSS")</f>
        <v>LOSS</v>
      </c>
      <c r="S480" s="3">
        <f>(Table1[[#This Row],[Total Amount after sale]]/Table1[[#This Row],[Price after discount]])</f>
        <v>-0.14314934473950436</v>
      </c>
    </row>
    <row r="481" spans="1:19" x14ac:dyDescent="0.3">
      <c r="A481">
        <v>1016</v>
      </c>
      <c r="B481" s="1">
        <v>45102</v>
      </c>
      <c r="C481" s="1">
        <f>DATE(YEAR(Table1[[#This Row],[Sale_Date]]), MONTH(Table1[[#This Row],[Sale_Date]]), 1)</f>
        <v>45078</v>
      </c>
      <c r="D481" t="s">
        <v>42</v>
      </c>
      <c r="E481" t="s">
        <v>21</v>
      </c>
      <c r="F481" s="2">
        <v>5401.98</v>
      </c>
      <c r="G481">
        <v>2</v>
      </c>
      <c r="H481" t="s">
        <v>35</v>
      </c>
      <c r="I481" s="2">
        <v>3144.82</v>
      </c>
      <c r="J481" s="2">
        <v>3480.58</v>
      </c>
      <c r="K481" t="s">
        <v>17</v>
      </c>
      <c r="L481" s="5">
        <v>0.12</v>
      </c>
      <c r="M481" t="s">
        <v>18</v>
      </c>
      <c r="N481" t="s">
        <v>22</v>
      </c>
      <c r="O481" t="s">
        <v>51</v>
      </c>
      <c r="P481" s="4">
        <f t="shared" si="14"/>
        <v>6125.8207999999995</v>
      </c>
      <c r="Q481" s="4">
        <f t="shared" si="15"/>
        <v>-163.81920000000082</v>
      </c>
      <c r="R481" t="str">
        <f>IF( Table1[[#This Row],[Total Amount after sale]] &gt; 0,"PROFIT","LOSS")</f>
        <v>LOSS</v>
      </c>
      <c r="S481" s="3">
        <f>(Table1[[#This Row],[Total Amount after sale]]/Table1[[#This Row],[Price after discount]])</f>
        <v>-2.6742408135739269E-2</v>
      </c>
    </row>
    <row r="482" spans="1:19" x14ac:dyDescent="0.3">
      <c r="A482">
        <v>1045</v>
      </c>
      <c r="B482" s="1">
        <v>45102</v>
      </c>
      <c r="C482" s="1">
        <f>DATE(YEAR(Table1[[#This Row],[Sale_Date]]), MONTH(Table1[[#This Row],[Sale_Date]]), 1)</f>
        <v>45078</v>
      </c>
      <c r="D482" t="s">
        <v>38</v>
      </c>
      <c r="E482" t="s">
        <v>25</v>
      </c>
      <c r="F482" s="2">
        <v>1489.21</v>
      </c>
      <c r="G482">
        <v>9</v>
      </c>
      <c r="H482" t="s">
        <v>29</v>
      </c>
      <c r="I482" s="2">
        <v>4920.34</v>
      </c>
      <c r="J482" s="2">
        <v>5129.1899999999996</v>
      </c>
      <c r="K482" t="s">
        <v>17</v>
      </c>
      <c r="L482" s="5">
        <v>0.13</v>
      </c>
      <c r="M482" t="s">
        <v>31</v>
      </c>
      <c r="N482" t="s">
        <v>19</v>
      </c>
      <c r="O482" t="s">
        <v>39</v>
      </c>
      <c r="P482" s="4">
        <f t="shared" si="14"/>
        <v>40161.55769999999</v>
      </c>
      <c r="Q482" s="4">
        <f t="shared" si="15"/>
        <v>-4121.5023000000083</v>
      </c>
      <c r="R482" t="str">
        <f>IF( Table1[[#This Row],[Total Amount after sale]] &gt; 0,"PROFIT","LOSS")</f>
        <v>LOSS</v>
      </c>
      <c r="S482" s="3">
        <f>(Table1[[#This Row],[Total Amount after sale]]/Table1[[#This Row],[Price after discount]])</f>
        <v>-0.10262306882583913</v>
      </c>
    </row>
    <row r="483" spans="1:19" x14ac:dyDescent="0.3">
      <c r="A483">
        <v>1031</v>
      </c>
      <c r="B483" s="1">
        <v>45102</v>
      </c>
      <c r="C483" s="1">
        <f>DATE(YEAR(Table1[[#This Row],[Sale_Date]]), MONTH(Table1[[#This Row],[Sale_Date]]), 1)</f>
        <v>45078</v>
      </c>
      <c r="D483" t="s">
        <v>42</v>
      </c>
      <c r="E483" t="s">
        <v>21</v>
      </c>
      <c r="F483" s="2">
        <v>1781.82</v>
      </c>
      <c r="G483">
        <v>10</v>
      </c>
      <c r="H483" t="s">
        <v>35</v>
      </c>
      <c r="I483" s="2">
        <v>566.86</v>
      </c>
      <c r="J483" s="2">
        <v>818.14</v>
      </c>
      <c r="K483" t="s">
        <v>17</v>
      </c>
      <c r="L483" s="5">
        <v>0.25</v>
      </c>
      <c r="M483" t="s">
        <v>31</v>
      </c>
      <c r="N483" t="s">
        <v>22</v>
      </c>
      <c r="O483" t="s">
        <v>51</v>
      </c>
      <c r="P483" s="4">
        <f t="shared" si="14"/>
        <v>6136.05</v>
      </c>
      <c r="Q483" s="4">
        <f t="shared" si="15"/>
        <v>467.45000000000005</v>
      </c>
      <c r="R483" t="str">
        <f>IF( Table1[[#This Row],[Total Amount after sale]] &gt; 0,"PROFIT","LOSS")</f>
        <v>PROFIT</v>
      </c>
      <c r="S483" s="3">
        <f>(Table1[[#This Row],[Total Amount after sale]]/Table1[[#This Row],[Price after discount]])</f>
        <v>7.6180930729052077E-2</v>
      </c>
    </row>
    <row r="484" spans="1:19" x14ac:dyDescent="0.3">
      <c r="A484">
        <v>1071</v>
      </c>
      <c r="B484" s="1">
        <v>45103</v>
      </c>
      <c r="C484" s="1">
        <f>DATE(YEAR(Table1[[#This Row],[Sale_Date]]), MONTH(Table1[[#This Row],[Sale_Date]]), 1)</f>
        <v>45078</v>
      </c>
      <c r="D484" t="s">
        <v>24</v>
      </c>
      <c r="E484" t="s">
        <v>15</v>
      </c>
      <c r="F484" s="2">
        <v>6664.17</v>
      </c>
      <c r="G484">
        <v>35</v>
      </c>
      <c r="H484" t="s">
        <v>29</v>
      </c>
      <c r="I484" s="2">
        <v>295.82</v>
      </c>
      <c r="J484" s="2">
        <v>684.67</v>
      </c>
      <c r="K484" t="s">
        <v>30</v>
      </c>
      <c r="L484" s="5">
        <v>0.03</v>
      </c>
      <c r="M484" t="s">
        <v>31</v>
      </c>
      <c r="N484" t="s">
        <v>19</v>
      </c>
      <c r="O484" t="s">
        <v>45</v>
      </c>
      <c r="P484" s="4">
        <f t="shared" si="14"/>
        <v>23244.546499999997</v>
      </c>
      <c r="Q484" s="4">
        <f t="shared" si="15"/>
        <v>12890.846499999998</v>
      </c>
      <c r="R484" t="str">
        <f>IF( Table1[[#This Row],[Total Amount after sale]] &gt; 0,"PROFIT","LOSS")</f>
        <v>PROFIT</v>
      </c>
      <c r="S484" s="3">
        <f>(Table1[[#This Row],[Total Amount after sale]]/Table1[[#This Row],[Price after discount]])</f>
        <v>0.55457509140907524</v>
      </c>
    </row>
    <row r="485" spans="1:19" x14ac:dyDescent="0.3">
      <c r="A485">
        <v>1089</v>
      </c>
      <c r="B485" s="1">
        <v>45103</v>
      </c>
      <c r="C485" s="1">
        <f>DATE(YEAR(Table1[[#This Row],[Sale_Date]]), MONTH(Table1[[#This Row],[Sale_Date]]), 1)</f>
        <v>45078</v>
      </c>
      <c r="D485" t="s">
        <v>38</v>
      </c>
      <c r="E485" t="s">
        <v>15</v>
      </c>
      <c r="F485" s="2">
        <v>9029.2099999999991</v>
      </c>
      <c r="G485">
        <v>35</v>
      </c>
      <c r="H485" t="s">
        <v>16</v>
      </c>
      <c r="I485" s="2">
        <v>3925.85</v>
      </c>
      <c r="J485" s="2">
        <v>4082.1099999999901</v>
      </c>
      <c r="K485" t="s">
        <v>30</v>
      </c>
      <c r="L485" s="5">
        <v>0.22</v>
      </c>
      <c r="M485" t="s">
        <v>18</v>
      </c>
      <c r="N485" t="s">
        <v>19</v>
      </c>
      <c r="O485" t="s">
        <v>40</v>
      </c>
      <c r="P485" s="4">
        <f t="shared" si="14"/>
        <v>111441.60299999974</v>
      </c>
      <c r="Q485" s="4">
        <f t="shared" si="15"/>
        <v>-25963.147000000256</v>
      </c>
      <c r="R485" t="str">
        <f>IF( Table1[[#This Row],[Total Amount after sale]] &gt; 0,"PROFIT","LOSS")</f>
        <v>LOSS</v>
      </c>
      <c r="S485" s="3">
        <f>(Table1[[#This Row],[Total Amount after sale]]/Table1[[#This Row],[Price after discount]])</f>
        <v>-0.23297535481430859</v>
      </c>
    </row>
    <row r="486" spans="1:19" x14ac:dyDescent="0.3">
      <c r="A486">
        <v>1064</v>
      </c>
      <c r="B486" s="1">
        <v>45103</v>
      </c>
      <c r="C486" s="1">
        <f>DATE(YEAR(Table1[[#This Row],[Sale_Date]]), MONTH(Table1[[#This Row],[Sale_Date]]), 1)</f>
        <v>45078</v>
      </c>
      <c r="D486" t="s">
        <v>42</v>
      </c>
      <c r="E486" t="s">
        <v>15</v>
      </c>
      <c r="F486" s="2">
        <v>6201.37</v>
      </c>
      <c r="G486">
        <v>21</v>
      </c>
      <c r="H486" t="s">
        <v>29</v>
      </c>
      <c r="I486" s="2">
        <v>2278.04</v>
      </c>
      <c r="J486" s="2">
        <v>2598.58</v>
      </c>
      <c r="K486" t="s">
        <v>17</v>
      </c>
      <c r="L486" s="5">
        <v>0.02</v>
      </c>
      <c r="M486" t="s">
        <v>31</v>
      </c>
      <c r="N486" t="s">
        <v>22</v>
      </c>
      <c r="O486" t="s">
        <v>49</v>
      </c>
      <c r="P486" s="4">
        <f t="shared" si="14"/>
        <v>53478.776400000002</v>
      </c>
      <c r="Q486" s="4">
        <f t="shared" si="15"/>
        <v>5639.9364000000023</v>
      </c>
      <c r="R486" t="str">
        <f>IF( Table1[[#This Row],[Total Amount after sale]] &gt; 0,"PROFIT","LOSS")</f>
        <v>PROFIT</v>
      </c>
      <c r="S486" s="3">
        <f>(Table1[[#This Row],[Total Amount after sale]]/Table1[[#This Row],[Price after discount]])</f>
        <v>0.10546120871980164</v>
      </c>
    </row>
    <row r="487" spans="1:19" x14ac:dyDescent="0.3">
      <c r="A487">
        <v>1016</v>
      </c>
      <c r="B487" s="1">
        <v>45103</v>
      </c>
      <c r="C487" s="1">
        <f>DATE(YEAR(Table1[[#This Row],[Sale_Date]]), MONTH(Table1[[#This Row],[Sale_Date]]), 1)</f>
        <v>45078</v>
      </c>
      <c r="D487" t="s">
        <v>33</v>
      </c>
      <c r="E487" t="s">
        <v>15</v>
      </c>
      <c r="F487" s="2">
        <v>9027.56</v>
      </c>
      <c r="G487">
        <v>3</v>
      </c>
      <c r="H487" t="s">
        <v>35</v>
      </c>
      <c r="I487" s="2">
        <v>3401.87</v>
      </c>
      <c r="J487" s="2">
        <v>3733.71</v>
      </c>
      <c r="K487" t="s">
        <v>17</v>
      </c>
      <c r="L487" s="5">
        <v>0.06</v>
      </c>
      <c r="M487" t="s">
        <v>27</v>
      </c>
      <c r="N487" t="s">
        <v>22</v>
      </c>
      <c r="O487" t="s">
        <v>53</v>
      </c>
      <c r="P487" s="4">
        <f t="shared" si="14"/>
        <v>10529.0622</v>
      </c>
      <c r="Q487" s="4">
        <f t="shared" si="15"/>
        <v>323.45219999999972</v>
      </c>
      <c r="R487" t="str">
        <f>IF( Table1[[#This Row],[Total Amount after sale]] &gt; 0,"PROFIT","LOSS")</f>
        <v>PROFIT</v>
      </c>
      <c r="S487" s="3">
        <f>(Table1[[#This Row],[Total Amount after sale]]/Table1[[#This Row],[Price after discount]])</f>
        <v>3.0719943890159536E-2</v>
      </c>
    </row>
    <row r="488" spans="1:19" x14ac:dyDescent="0.3">
      <c r="A488">
        <v>1025</v>
      </c>
      <c r="B488" s="1">
        <v>45103</v>
      </c>
      <c r="C488" s="1">
        <f>DATE(YEAR(Table1[[#This Row],[Sale_Date]]), MONTH(Table1[[#This Row],[Sale_Date]]), 1)</f>
        <v>45078</v>
      </c>
      <c r="D488" t="s">
        <v>24</v>
      </c>
      <c r="E488" t="s">
        <v>15</v>
      </c>
      <c r="F488" s="2">
        <v>2457.65</v>
      </c>
      <c r="G488">
        <v>47</v>
      </c>
      <c r="H488" t="s">
        <v>16</v>
      </c>
      <c r="I488" s="2">
        <v>3861.61</v>
      </c>
      <c r="J488" s="2">
        <v>3998.91</v>
      </c>
      <c r="K488" t="s">
        <v>30</v>
      </c>
      <c r="L488" s="5">
        <v>0.25</v>
      </c>
      <c r="M488" t="s">
        <v>31</v>
      </c>
      <c r="N488" t="s">
        <v>19</v>
      </c>
      <c r="O488" t="s">
        <v>45</v>
      </c>
      <c r="P488" s="4">
        <f t="shared" si="14"/>
        <v>140961.57749999998</v>
      </c>
      <c r="Q488" s="4">
        <f t="shared" si="15"/>
        <v>-40534.092500000013</v>
      </c>
      <c r="R488" t="str">
        <f>IF( Table1[[#This Row],[Total Amount after sale]] &gt; 0,"PROFIT","LOSS")</f>
        <v>LOSS</v>
      </c>
      <c r="S488" s="3">
        <f>(Table1[[#This Row],[Total Amount after sale]]/Table1[[#This Row],[Price after discount]])</f>
        <v>-0.28755419185061276</v>
      </c>
    </row>
    <row r="489" spans="1:19" x14ac:dyDescent="0.3">
      <c r="A489">
        <v>1004</v>
      </c>
      <c r="B489" s="1">
        <v>45104</v>
      </c>
      <c r="C489" s="1">
        <f>DATE(YEAR(Table1[[#This Row],[Sale_Date]]), MONTH(Table1[[#This Row],[Sale_Date]]), 1)</f>
        <v>45078</v>
      </c>
      <c r="D489" t="s">
        <v>42</v>
      </c>
      <c r="E489" t="s">
        <v>21</v>
      </c>
      <c r="F489" s="2">
        <v>7825.72</v>
      </c>
      <c r="G489">
        <v>2</v>
      </c>
      <c r="H489" t="s">
        <v>35</v>
      </c>
      <c r="I489" s="2">
        <v>2953.23</v>
      </c>
      <c r="J489" s="2">
        <v>2977.52</v>
      </c>
      <c r="K489" t="s">
        <v>17</v>
      </c>
      <c r="L489" s="5">
        <v>0.11</v>
      </c>
      <c r="M489" t="s">
        <v>31</v>
      </c>
      <c r="N489" t="s">
        <v>22</v>
      </c>
      <c r="O489" t="s">
        <v>51</v>
      </c>
      <c r="P489" s="4">
        <f t="shared" si="14"/>
        <v>5299.9856</v>
      </c>
      <c r="Q489" s="4">
        <f t="shared" si="15"/>
        <v>-606.47440000000006</v>
      </c>
      <c r="R489" t="str">
        <f>IF( Table1[[#This Row],[Total Amount after sale]] &gt; 0,"PROFIT","LOSS")</f>
        <v>LOSS</v>
      </c>
      <c r="S489" s="3">
        <f>(Table1[[#This Row],[Total Amount after sale]]/Table1[[#This Row],[Price after discount]])</f>
        <v>-0.11442944297810924</v>
      </c>
    </row>
    <row r="490" spans="1:19" x14ac:dyDescent="0.3">
      <c r="A490">
        <v>1080</v>
      </c>
      <c r="B490" s="1">
        <v>45104</v>
      </c>
      <c r="C490" s="1">
        <f>DATE(YEAR(Table1[[#This Row],[Sale_Date]]), MONTH(Table1[[#This Row],[Sale_Date]]), 1)</f>
        <v>45078</v>
      </c>
      <c r="D490" t="s">
        <v>38</v>
      </c>
      <c r="E490" t="s">
        <v>21</v>
      </c>
      <c r="F490" s="2">
        <v>5012.96</v>
      </c>
      <c r="G490">
        <v>35</v>
      </c>
      <c r="H490" t="s">
        <v>16</v>
      </c>
      <c r="I490" s="2">
        <v>900.97</v>
      </c>
      <c r="J490" s="2">
        <v>1321.18</v>
      </c>
      <c r="K490" t="s">
        <v>17</v>
      </c>
      <c r="L490" s="5">
        <v>0.1</v>
      </c>
      <c r="M490" t="s">
        <v>18</v>
      </c>
      <c r="N490" t="s">
        <v>19</v>
      </c>
      <c r="O490" t="s">
        <v>41</v>
      </c>
      <c r="P490" s="4">
        <f t="shared" si="14"/>
        <v>41617.170000000006</v>
      </c>
      <c r="Q490" s="4">
        <f t="shared" si="15"/>
        <v>10083.220000000003</v>
      </c>
      <c r="R490" t="str">
        <f>IF( Table1[[#This Row],[Total Amount after sale]] &gt; 0,"PROFIT","LOSS")</f>
        <v>PROFIT</v>
      </c>
      <c r="S490" s="3">
        <f>(Table1[[#This Row],[Total Amount after sale]]/Table1[[#This Row],[Price after discount]])</f>
        <v>0.24228509531042119</v>
      </c>
    </row>
    <row r="491" spans="1:19" x14ac:dyDescent="0.3">
      <c r="A491">
        <v>1039</v>
      </c>
      <c r="B491" s="1">
        <v>45104</v>
      </c>
      <c r="C491" s="1">
        <f>DATE(YEAR(Table1[[#This Row],[Sale_Date]]), MONTH(Table1[[#This Row],[Sale_Date]]), 1)</f>
        <v>45078</v>
      </c>
      <c r="D491" t="s">
        <v>14</v>
      </c>
      <c r="E491" t="s">
        <v>34</v>
      </c>
      <c r="F491" s="2">
        <v>9683.85</v>
      </c>
      <c r="G491">
        <v>2</v>
      </c>
      <c r="H491" t="s">
        <v>35</v>
      </c>
      <c r="I491" s="2">
        <v>4394.58</v>
      </c>
      <c r="J491" s="2">
        <v>4545.78</v>
      </c>
      <c r="K491" t="s">
        <v>17</v>
      </c>
      <c r="L491" s="5">
        <v>0.2</v>
      </c>
      <c r="M491" t="s">
        <v>31</v>
      </c>
      <c r="N491" t="s">
        <v>22</v>
      </c>
      <c r="O491" t="s">
        <v>46</v>
      </c>
      <c r="P491" s="4">
        <f t="shared" si="14"/>
        <v>7273.2479999999996</v>
      </c>
      <c r="Q491" s="4">
        <f t="shared" si="15"/>
        <v>-1515.9120000000003</v>
      </c>
      <c r="R491" t="str">
        <f>IF( Table1[[#This Row],[Total Amount after sale]] &gt; 0,"PROFIT","LOSS")</f>
        <v>LOSS</v>
      </c>
      <c r="S491" s="3">
        <f>(Table1[[#This Row],[Total Amount after sale]]/Table1[[#This Row],[Price after discount]])</f>
        <v>-0.20842297691485295</v>
      </c>
    </row>
    <row r="492" spans="1:19" x14ac:dyDescent="0.3">
      <c r="A492">
        <v>1021</v>
      </c>
      <c r="B492" s="1">
        <v>45104</v>
      </c>
      <c r="C492" s="1">
        <f>DATE(YEAR(Table1[[#This Row],[Sale_Date]]), MONTH(Table1[[#This Row],[Sale_Date]]), 1)</f>
        <v>45078</v>
      </c>
      <c r="D492" t="s">
        <v>33</v>
      </c>
      <c r="E492" t="s">
        <v>15</v>
      </c>
      <c r="F492" s="2">
        <v>3777.53</v>
      </c>
      <c r="G492">
        <v>19</v>
      </c>
      <c r="H492" t="s">
        <v>35</v>
      </c>
      <c r="I492" s="2">
        <v>1222.4000000000001</v>
      </c>
      <c r="J492" s="2">
        <v>1464.71</v>
      </c>
      <c r="K492" t="s">
        <v>30</v>
      </c>
      <c r="L492" s="5">
        <v>0</v>
      </c>
      <c r="M492" t="s">
        <v>31</v>
      </c>
      <c r="N492" t="s">
        <v>22</v>
      </c>
      <c r="O492" t="s">
        <v>53</v>
      </c>
      <c r="P492" s="4">
        <f t="shared" si="14"/>
        <v>27829.49</v>
      </c>
      <c r="Q492" s="4">
        <f t="shared" si="15"/>
        <v>4603.8899999999994</v>
      </c>
      <c r="R492" t="str">
        <f>IF( Table1[[#This Row],[Total Amount after sale]] &gt; 0,"PROFIT","LOSS")</f>
        <v>PROFIT</v>
      </c>
      <c r="S492" s="3">
        <f>(Table1[[#This Row],[Total Amount after sale]]/Table1[[#This Row],[Price after discount]])</f>
        <v>0.16543206505041952</v>
      </c>
    </row>
    <row r="493" spans="1:19" x14ac:dyDescent="0.3">
      <c r="A493">
        <v>1023</v>
      </c>
      <c r="B493" s="1">
        <v>45105</v>
      </c>
      <c r="C493" s="1">
        <f>DATE(YEAR(Table1[[#This Row],[Sale_Date]]), MONTH(Table1[[#This Row],[Sale_Date]]), 1)</f>
        <v>45078</v>
      </c>
      <c r="D493" t="s">
        <v>38</v>
      </c>
      <c r="E493" t="s">
        <v>34</v>
      </c>
      <c r="F493" s="2">
        <v>2170.94</v>
      </c>
      <c r="G493">
        <v>9</v>
      </c>
      <c r="H493" t="s">
        <v>29</v>
      </c>
      <c r="I493" s="2">
        <v>4155.46</v>
      </c>
      <c r="J493" s="2">
        <v>4273.6000000000004</v>
      </c>
      <c r="K493" t="s">
        <v>17</v>
      </c>
      <c r="L493" s="5">
        <v>0.25</v>
      </c>
      <c r="M493" t="s">
        <v>18</v>
      </c>
      <c r="N493" t="s">
        <v>22</v>
      </c>
      <c r="O493" t="s">
        <v>48</v>
      </c>
      <c r="P493" s="4">
        <f t="shared" si="14"/>
        <v>28846.800000000003</v>
      </c>
      <c r="Q493" s="4">
        <f t="shared" si="15"/>
        <v>-8552.3399999999983</v>
      </c>
      <c r="R493" t="str">
        <f>IF( Table1[[#This Row],[Total Amount after sale]] &gt; 0,"PROFIT","LOSS")</f>
        <v>LOSS</v>
      </c>
      <c r="S493" s="3">
        <f>(Table1[[#This Row],[Total Amount after sale]]/Table1[[#This Row],[Price after discount]])</f>
        <v>-0.29647447897167095</v>
      </c>
    </row>
    <row r="494" spans="1:19" x14ac:dyDescent="0.3">
      <c r="A494">
        <v>1090</v>
      </c>
      <c r="B494" s="1">
        <v>45105</v>
      </c>
      <c r="C494" s="1">
        <f>DATE(YEAR(Table1[[#This Row],[Sale_Date]]), MONTH(Table1[[#This Row],[Sale_Date]]), 1)</f>
        <v>45078</v>
      </c>
      <c r="D494" t="s">
        <v>33</v>
      </c>
      <c r="E494" t="s">
        <v>15</v>
      </c>
      <c r="F494" s="2">
        <v>5976.25</v>
      </c>
      <c r="G494">
        <v>41</v>
      </c>
      <c r="H494" t="s">
        <v>29</v>
      </c>
      <c r="I494" s="2">
        <v>3736.88</v>
      </c>
      <c r="J494" s="2">
        <v>3946.77</v>
      </c>
      <c r="K494" t="s">
        <v>17</v>
      </c>
      <c r="L494" s="5">
        <v>0.06</v>
      </c>
      <c r="M494" t="s">
        <v>31</v>
      </c>
      <c r="N494" t="s">
        <v>19</v>
      </c>
      <c r="O494" t="s">
        <v>53</v>
      </c>
      <c r="P494" s="4">
        <f t="shared" si="14"/>
        <v>152108.51579999999</v>
      </c>
      <c r="Q494" s="4">
        <f t="shared" si="15"/>
        <v>-1103.5642000000048</v>
      </c>
      <c r="R494" t="str">
        <f>IF( Table1[[#This Row],[Total Amount after sale]] &gt; 0,"PROFIT","LOSS")</f>
        <v>LOSS</v>
      </c>
      <c r="S494" s="3">
        <f>(Table1[[#This Row],[Total Amount after sale]]/Table1[[#This Row],[Price after discount]])</f>
        <v>-7.2551112223790751E-3</v>
      </c>
    </row>
    <row r="495" spans="1:19" x14ac:dyDescent="0.3">
      <c r="A495">
        <v>1059</v>
      </c>
      <c r="B495" s="1">
        <v>45105</v>
      </c>
      <c r="C495" s="1">
        <f>DATE(YEAR(Table1[[#This Row],[Sale_Date]]), MONTH(Table1[[#This Row],[Sale_Date]]), 1)</f>
        <v>45078</v>
      </c>
      <c r="D495" t="s">
        <v>14</v>
      </c>
      <c r="E495" t="s">
        <v>15</v>
      </c>
      <c r="F495" s="2">
        <v>2338.64</v>
      </c>
      <c r="G495">
        <v>13</v>
      </c>
      <c r="H495" t="s">
        <v>35</v>
      </c>
      <c r="I495" s="2">
        <v>1969.78</v>
      </c>
      <c r="J495" s="2">
        <v>2437.6999999999998</v>
      </c>
      <c r="K495" t="s">
        <v>30</v>
      </c>
      <c r="L495" s="5">
        <v>0.19</v>
      </c>
      <c r="M495" t="s">
        <v>31</v>
      </c>
      <c r="N495" t="s">
        <v>22</v>
      </c>
      <c r="O495" t="s">
        <v>20</v>
      </c>
      <c r="P495" s="4">
        <f t="shared" si="14"/>
        <v>25668.981</v>
      </c>
      <c r="Q495" s="4">
        <f t="shared" si="15"/>
        <v>61.841000000000804</v>
      </c>
      <c r="R495" t="str">
        <f>IF( Table1[[#This Row],[Total Amount after sale]] &gt; 0,"PROFIT","LOSS")</f>
        <v>PROFIT</v>
      </c>
      <c r="S495" s="3">
        <f>(Table1[[#This Row],[Total Amount after sale]]/Table1[[#This Row],[Price after discount]])</f>
        <v>2.4091723781322215E-3</v>
      </c>
    </row>
    <row r="496" spans="1:19" x14ac:dyDescent="0.3">
      <c r="A496">
        <v>1004</v>
      </c>
      <c r="B496" s="1">
        <v>45105</v>
      </c>
      <c r="C496" s="1">
        <f>DATE(YEAR(Table1[[#This Row],[Sale_Date]]), MONTH(Table1[[#This Row],[Sale_Date]]), 1)</f>
        <v>45078</v>
      </c>
      <c r="D496" t="s">
        <v>14</v>
      </c>
      <c r="E496" t="s">
        <v>21</v>
      </c>
      <c r="F496" s="2">
        <v>8003.1</v>
      </c>
      <c r="G496">
        <v>38</v>
      </c>
      <c r="H496" t="s">
        <v>16</v>
      </c>
      <c r="I496" s="2">
        <v>4881.63</v>
      </c>
      <c r="J496" s="2">
        <v>5088.0600000000004</v>
      </c>
      <c r="K496" t="s">
        <v>17</v>
      </c>
      <c r="L496" s="5">
        <v>0.16</v>
      </c>
      <c r="M496" t="s">
        <v>31</v>
      </c>
      <c r="N496" t="s">
        <v>22</v>
      </c>
      <c r="O496" t="s">
        <v>23</v>
      </c>
      <c r="P496" s="4">
        <f t="shared" si="14"/>
        <v>162410.87520000001</v>
      </c>
      <c r="Q496" s="4">
        <f t="shared" si="15"/>
        <v>-23091.0648</v>
      </c>
      <c r="R496" t="str">
        <f>IF( Table1[[#This Row],[Total Amount after sale]] &gt; 0,"PROFIT","LOSS")</f>
        <v>LOSS</v>
      </c>
      <c r="S496" s="3">
        <f>(Table1[[#This Row],[Total Amount after sale]]/Table1[[#This Row],[Price after discount]])</f>
        <v>-0.14217683866037067</v>
      </c>
    </row>
    <row r="497" spans="1:19" x14ac:dyDescent="0.3">
      <c r="A497">
        <v>1075</v>
      </c>
      <c r="B497" s="1">
        <v>45106</v>
      </c>
      <c r="C497" s="1">
        <f>DATE(YEAR(Table1[[#This Row],[Sale_Date]]), MONTH(Table1[[#This Row],[Sale_Date]]), 1)</f>
        <v>45078</v>
      </c>
      <c r="D497" t="s">
        <v>24</v>
      </c>
      <c r="E497" t="s">
        <v>25</v>
      </c>
      <c r="F497" s="2">
        <v>4223.3900000000003</v>
      </c>
      <c r="G497">
        <v>30</v>
      </c>
      <c r="H497" t="s">
        <v>16</v>
      </c>
      <c r="I497" s="2">
        <v>738.06</v>
      </c>
      <c r="J497" s="2">
        <v>1095.44999999999</v>
      </c>
      <c r="K497" t="s">
        <v>30</v>
      </c>
      <c r="L497" s="5">
        <v>0.05</v>
      </c>
      <c r="M497" t="s">
        <v>27</v>
      </c>
      <c r="N497" t="s">
        <v>19</v>
      </c>
      <c r="O497" t="s">
        <v>28</v>
      </c>
      <c r="P497" s="4">
        <f t="shared" si="14"/>
        <v>31220.324999999713</v>
      </c>
      <c r="Q497" s="4">
        <f t="shared" si="15"/>
        <v>9078.5249999997159</v>
      </c>
      <c r="R497" t="str">
        <f>IF( Table1[[#This Row],[Total Amount after sale]] &gt; 0,"PROFIT","LOSS")</f>
        <v>PROFIT</v>
      </c>
      <c r="S497" s="3">
        <f>(Table1[[#This Row],[Total Amount after sale]]/Table1[[#This Row],[Price after discount]])</f>
        <v>0.29078893317093268</v>
      </c>
    </row>
    <row r="498" spans="1:19" x14ac:dyDescent="0.3">
      <c r="A498">
        <v>1067</v>
      </c>
      <c r="B498" s="1">
        <v>45106</v>
      </c>
      <c r="C498" s="1">
        <f>DATE(YEAR(Table1[[#This Row],[Sale_Date]]), MONTH(Table1[[#This Row],[Sale_Date]]), 1)</f>
        <v>45078</v>
      </c>
      <c r="D498" t="s">
        <v>38</v>
      </c>
      <c r="E498" t="s">
        <v>25</v>
      </c>
      <c r="F498" s="2">
        <v>114.59</v>
      </c>
      <c r="G498">
        <v>48</v>
      </c>
      <c r="H498" t="s">
        <v>26</v>
      </c>
      <c r="I498" s="2">
        <v>4319.32</v>
      </c>
      <c r="J498" s="2">
        <v>4625.5599999999904</v>
      </c>
      <c r="K498" t="s">
        <v>17</v>
      </c>
      <c r="L498" s="5">
        <v>0.1</v>
      </c>
      <c r="M498" t="s">
        <v>27</v>
      </c>
      <c r="N498" t="s">
        <v>19</v>
      </c>
      <c r="O498" t="s">
        <v>39</v>
      </c>
      <c r="P498" s="4">
        <f t="shared" si="14"/>
        <v>199824.1919999996</v>
      </c>
      <c r="Q498" s="4">
        <f t="shared" si="15"/>
        <v>-7503.1680000003835</v>
      </c>
      <c r="R498" t="str">
        <f>IF( Table1[[#This Row],[Total Amount after sale]] &gt; 0,"PROFIT","LOSS")</f>
        <v>LOSS</v>
      </c>
      <c r="S498" s="3">
        <f>(Table1[[#This Row],[Total Amount after sale]]/Table1[[#This Row],[Price after discount]])</f>
        <v>-3.7548846938414739E-2</v>
      </c>
    </row>
    <row r="499" spans="1:19" x14ac:dyDescent="0.3">
      <c r="A499">
        <v>1086</v>
      </c>
      <c r="B499" s="1">
        <v>45107</v>
      </c>
      <c r="C499" s="1">
        <f>DATE(YEAR(Table1[[#This Row],[Sale_Date]]), MONTH(Table1[[#This Row],[Sale_Date]]), 1)</f>
        <v>45078</v>
      </c>
      <c r="D499" t="s">
        <v>14</v>
      </c>
      <c r="E499" t="s">
        <v>15</v>
      </c>
      <c r="F499" s="2">
        <v>8414.0400000000009</v>
      </c>
      <c r="G499">
        <v>46</v>
      </c>
      <c r="H499" t="s">
        <v>29</v>
      </c>
      <c r="I499" s="2">
        <v>2245.64</v>
      </c>
      <c r="J499" s="2">
        <v>2260.81</v>
      </c>
      <c r="K499" t="s">
        <v>30</v>
      </c>
      <c r="L499" s="5">
        <v>0</v>
      </c>
      <c r="M499" t="s">
        <v>18</v>
      </c>
      <c r="N499" t="s">
        <v>22</v>
      </c>
      <c r="O499" t="s">
        <v>20</v>
      </c>
      <c r="P499" s="4">
        <f t="shared" si="14"/>
        <v>103997.26</v>
      </c>
      <c r="Q499" s="4">
        <f t="shared" si="15"/>
        <v>697.82000000000335</v>
      </c>
      <c r="R499" t="str">
        <f>IF( Table1[[#This Row],[Total Amount after sale]] &gt; 0,"PROFIT","LOSS")</f>
        <v>PROFIT</v>
      </c>
      <c r="S499" s="3">
        <f>(Table1[[#This Row],[Total Amount after sale]]/Table1[[#This Row],[Price after discount]])</f>
        <v>6.709984474590998E-3</v>
      </c>
    </row>
    <row r="500" spans="1:19" x14ac:dyDescent="0.3">
      <c r="A500">
        <v>1032</v>
      </c>
      <c r="B500" s="1">
        <v>45107</v>
      </c>
      <c r="C500" s="1">
        <f>DATE(YEAR(Table1[[#This Row],[Sale_Date]]), MONTH(Table1[[#This Row],[Sale_Date]]), 1)</f>
        <v>45078</v>
      </c>
      <c r="D500" t="s">
        <v>38</v>
      </c>
      <c r="E500" t="s">
        <v>15</v>
      </c>
      <c r="F500" s="2">
        <v>3312.67</v>
      </c>
      <c r="G500">
        <v>6</v>
      </c>
      <c r="H500" t="s">
        <v>29</v>
      </c>
      <c r="I500" s="2">
        <v>2522.7600000000002</v>
      </c>
      <c r="J500" s="2">
        <v>2840.14</v>
      </c>
      <c r="K500" t="s">
        <v>17</v>
      </c>
      <c r="L500" s="5">
        <v>7.0000000000000007E-2</v>
      </c>
      <c r="M500" t="s">
        <v>31</v>
      </c>
      <c r="N500" t="s">
        <v>22</v>
      </c>
      <c r="O500" t="s">
        <v>40</v>
      </c>
      <c r="P500" s="4">
        <f t="shared" si="14"/>
        <v>15847.981199999998</v>
      </c>
      <c r="Q500" s="4">
        <f t="shared" si="15"/>
        <v>711.42119999999795</v>
      </c>
      <c r="R500" t="str">
        <f>IF( Table1[[#This Row],[Total Amount after sale]] &gt; 0,"PROFIT","LOSS")</f>
        <v>PROFIT</v>
      </c>
      <c r="S500" s="3">
        <f>(Table1[[#This Row],[Total Amount after sale]]/Table1[[#This Row],[Price after discount]])</f>
        <v>4.4890335937551339E-2</v>
      </c>
    </row>
    <row r="501" spans="1:19" x14ac:dyDescent="0.3">
      <c r="A501">
        <v>1065</v>
      </c>
      <c r="B501" s="1">
        <v>45107</v>
      </c>
      <c r="C501" s="1">
        <f>DATE(YEAR(Table1[[#This Row],[Sale_Date]]), MONTH(Table1[[#This Row],[Sale_Date]]), 1)</f>
        <v>45078</v>
      </c>
      <c r="D501" t="s">
        <v>38</v>
      </c>
      <c r="E501" t="s">
        <v>25</v>
      </c>
      <c r="F501" s="2">
        <v>8840.86</v>
      </c>
      <c r="G501">
        <v>13</v>
      </c>
      <c r="H501" t="s">
        <v>16</v>
      </c>
      <c r="I501" s="2">
        <v>1339</v>
      </c>
      <c r="J501" s="2">
        <v>1441.88</v>
      </c>
      <c r="K501" t="s">
        <v>17</v>
      </c>
      <c r="L501" s="5">
        <v>0.23</v>
      </c>
      <c r="M501" t="s">
        <v>31</v>
      </c>
      <c r="N501" t="s">
        <v>22</v>
      </c>
      <c r="O501" t="s">
        <v>39</v>
      </c>
      <c r="P501" s="4">
        <f t="shared" si="14"/>
        <v>14433.218800000002</v>
      </c>
      <c r="Q501" s="4">
        <f t="shared" si="15"/>
        <v>-2973.7811999999981</v>
      </c>
      <c r="R501" t="str">
        <f>IF( Table1[[#This Row],[Total Amount after sale]] &gt; 0,"PROFIT","LOSS")</f>
        <v>LOSS</v>
      </c>
      <c r="S501" s="3">
        <f>(Table1[[#This Row],[Total Amount after sale]]/Table1[[#This Row],[Price after discount]])</f>
        <v>-0.20603728393558321</v>
      </c>
    </row>
    <row r="502" spans="1:19" x14ac:dyDescent="0.3">
      <c r="A502">
        <v>1090</v>
      </c>
      <c r="B502" s="1">
        <v>45108</v>
      </c>
      <c r="C502" s="1">
        <f>DATE(YEAR(Table1[[#This Row],[Sale_Date]]), MONTH(Table1[[#This Row],[Sale_Date]]), 1)</f>
        <v>45108</v>
      </c>
      <c r="D502" t="s">
        <v>24</v>
      </c>
      <c r="E502" t="s">
        <v>15</v>
      </c>
      <c r="F502" s="2">
        <v>2150.0500000000002</v>
      </c>
      <c r="G502">
        <v>31</v>
      </c>
      <c r="H502" t="s">
        <v>16</v>
      </c>
      <c r="I502" s="2">
        <v>4496.8599999999997</v>
      </c>
      <c r="J502" s="2">
        <v>4880.7999999999902</v>
      </c>
      <c r="K502" t="s">
        <v>30</v>
      </c>
      <c r="L502" s="5">
        <v>0.06</v>
      </c>
      <c r="M502" t="s">
        <v>18</v>
      </c>
      <c r="N502" t="s">
        <v>22</v>
      </c>
      <c r="O502" t="s">
        <v>45</v>
      </c>
      <c r="P502" s="4">
        <f t="shared" si="14"/>
        <v>142226.5119999997</v>
      </c>
      <c r="Q502" s="4">
        <f t="shared" si="15"/>
        <v>2823.851999999707</v>
      </c>
      <c r="R502" t="str">
        <f>IF( Table1[[#This Row],[Total Amount after sale]] &gt; 0,"PROFIT","LOSS")</f>
        <v>PROFIT</v>
      </c>
      <c r="S502" s="3">
        <f>(Table1[[#This Row],[Total Amount after sale]]/Table1[[#This Row],[Price after discount]])</f>
        <v>1.9854610510308464E-2</v>
      </c>
    </row>
    <row r="503" spans="1:19" x14ac:dyDescent="0.3">
      <c r="A503">
        <v>1036</v>
      </c>
      <c r="B503" s="1">
        <v>45108</v>
      </c>
      <c r="C503" s="1">
        <f>DATE(YEAR(Table1[[#This Row],[Sale_Date]]), MONTH(Table1[[#This Row],[Sale_Date]]), 1)</f>
        <v>45108</v>
      </c>
      <c r="D503" t="s">
        <v>42</v>
      </c>
      <c r="E503" t="s">
        <v>21</v>
      </c>
      <c r="F503" s="2">
        <v>3111.57</v>
      </c>
      <c r="G503">
        <v>17</v>
      </c>
      <c r="H503" t="s">
        <v>16</v>
      </c>
      <c r="I503" s="2">
        <v>1475</v>
      </c>
      <c r="J503" s="2">
        <v>1840.77</v>
      </c>
      <c r="K503" t="s">
        <v>17</v>
      </c>
      <c r="L503" s="5">
        <v>0.1</v>
      </c>
      <c r="M503" t="s">
        <v>31</v>
      </c>
      <c r="N503" t="s">
        <v>19</v>
      </c>
      <c r="O503" t="s">
        <v>51</v>
      </c>
      <c r="P503" s="4">
        <f t="shared" si="14"/>
        <v>28163.780999999999</v>
      </c>
      <c r="Q503" s="4">
        <f t="shared" si="15"/>
        <v>3088.7809999999999</v>
      </c>
      <c r="R503" t="str">
        <f>IF( Table1[[#This Row],[Total Amount after sale]] &gt; 0,"PROFIT","LOSS")</f>
        <v>PROFIT</v>
      </c>
      <c r="S503" s="3">
        <f>(Table1[[#This Row],[Total Amount after sale]]/Table1[[#This Row],[Price after discount]])</f>
        <v>0.10967209977950049</v>
      </c>
    </row>
    <row r="504" spans="1:19" x14ac:dyDescent="0.3">
      <c r="A504">
        <v>1027</v>
      </c>
      <c r="B504" s="1">
        <v>45108</v>
      </c>
      <c r="C504" s="1">
        <f>DATE(YEAR(Table1[[#This Row],[Sale_Date]]), MONTH(Table1[[#This Row],[Sale_Date]]), 1)</f>
        <v>45108</v>
      </c>
      <c r="D504" t="s">
        <v>38</v>
      </c>
      <c r="E504" t="s">
        <v>15</v>
      </c>
      <c r="F504" s="2">
        <v>8666.43</v>
      </c>
      <c r="G504">
        <v>15</v>
      </c>
      <c r="H504" t="s">
        <v>29</v>
      </c>
      <c r="I504" s="2">
        <v>1615.26</v>
      </c>
      <c r="J504" s="2">
        <v>1710.95</v>
      </c>
      <c r="K504" t="s">
        <v>30</v>
      </c>
      <c r="L504" s="5">
        <v>0.23</v>
      </c>
      <c r="M504" t="s">
        <v>31</v>
      </c>
      <c r="N504" t="s">
        <v>22</v>
      </c>
      <c r="O504" t="s">
        <v>40</v>
      </c>
      <c r="P504" s="4">
        <f t="shared" si="14"/>
        <v>19761.472500000003</v>
      </c>
      <c r="Q504" s="4">
        <f t="shared" si="15"/>
        <v>-4467.427499999998</v>
      </c>
      <c r="R504" t="str">
        <f>IF( Table1[[#This Row],[Total Amount after sale]] &gt; 0,"PROFIT","LOSS")</f>
        <v>LOSS</v>
      </c>
      <c r="S504" s="3">
        <f>(Table1[[#This Row],[Total Amount after sale]]/Table1[[#This Row],[Price after discount]])</f>
        <v>-0.22606754127254419</v>
      </c>
    </row>
    <row r="505" spans="1:19" x14ac:dyDescent="0.3">
      <c r="A505">
        <v>1067</v>
      </c>
      <c r="B505" s="1">
        <v>45109</v>
      </c>
      <c r="C505" s="1">
        <f>DATE(YEAR(Table1[[#This Row],[Sale_Date]]), MONTH(Table1[[#This Row],[Sale_Date]]), 1)</f>
        <v>45108</v>
      </c>
      <c r="D505" t="s">
        <v>42</v>
      </c>
      <c r="E505" t="s">
        <v>15</v>
      </c>
      <c r="F505" s="2">
        <v>8602.2900000000009</v>
      </c>
      <c r="G505">
        <v>36</v>
      </c>
      <c r="H505" t="s">
        <v>35</v>
      </c>
      <c r="I505" s="2">
        <v>689.66</v>
      </c>
      <c r="J505" s="2">
        <v>1150.28</v>
      </c>
      <c r="K505" t="s">
        <v>30</v>
      </c>
      <c r="L505" s="5">
        <v>0.2</v>
      </c>
      <c r="M505" t="s">
        <v>27</v>
      </c>
      <c r="N505" t="s">
        <v>19</v>
      </c>
      <c r="O505" t="s">
        <v>49</v>
      </c>
      <c r="P505" s="4">
        <f t="shared" si="14"/>
        <v>33128.063999999998</v>
      </c>
      <c r="Q505" s="4">
        <f t="shared" si="15"/>
        <v>8300.3040000000037</v>
      </c>
      <c r="R505" t="str">
        <f>IF( Table1[[#This Row],[Total Amount after sale]] &gt; 0,"PROFIT","LOSS")</f>
        <v>PROFIT</v>
      </c>
      <c r="S505" s="3">
        <f>(Table1[[#This Row],[Total Amount after sale]]/Table1[[#This Row],[Price after discount]])</f>
        <v>0.25055203950342536</v>
      </c>
    </row>
    <row r="506" spans="1:19" x14ac:dyDescent="0.3">
      <c r="A506">
        <v>1014</v>
      </c>
      <c r="B506" s="1">
        <v>45109</v>
      </c>
      <c r="C506" s="1">
        <f>DATE(YEAR(Table1[[#This Row],[Sale_Date]]), MONTH(Table1[[#This Row],[Sale_Date]]), 1)</f>
        <v>45108</v>
      </c>
      <c r="D506" t="s">
        <v>24</v>
      </c>
      <c r="E506" t="s">
        <v>34</v>
      </c>
      <c r="F506" s="2">
        <v>9278.5300000000007</v>
      </c>
      <c r="G506">
        <v>7</v>
      </c>
      <c r="H506" t="s">
        <v>29</v>
      </c>
      <c r="I506" s="2">
        <v>4705.46</v>
      </c>
      <c r="J506" s="2">
        <v>4747.07</v>
      </c>
      <c r="K506" t="s">
        <v>30</v>
      </c>
      <c r="L506" s="5">
        <v>0.27</v>
      </c>
      <c r="M506" t="s">
        <v>27</v>
      </c>
      <c r="N506" t="s">
        <v>22</v>
      </c>
      <c r="O506" t="s">
        <v>50</v>
      </c>
      <c r="P506" s="4">
        <f t="shared" si="14"/>
        <v>24257.527699999999</v>
      </c>
      <c r="Q506" s="4">
        <f t="shared" si="15"/>
        <v>-8680.6923000000024</v>
      </c>
      <c r="R506" t="str">
        <f>IF( Table1[[#This Row],[Total Amount after sale]] &gt; 0,"PROFIT","LOSS")</f>
        <v>LOSS</v>
      </c>
      <c r="S506" s="3">
        <f>(Table1[[#This Row],[Total Amount after sale]]/Table1[[#This Row],[Price after discount]])</f>
        <v>-0.35785560702461872</v>
      </c>
    </row>
    <row r="507" spans="1:19" x14ac:dyDescent="0.3">
      <c r="A507">
        <v>1066</v>
      </c>
      <c r="B507" s="1">
        <v>45110</v>
      </c>
      <c r="C507" s="1">
        <f>DATE(YEAR(Table1[[#This Row],[Sale_Date]]), MONTH(Table1[[#This Row],[Sale_Date]]), 1)</f>
        <v>45108</v>
      </c>
      <c r="D507" t="s">
        <v>33</v>
      </c>
      <c r="E507" t="s">
        <v>15</v>
      </c>
      <c r="F507" s="2">
        <v>6380.2</v>
      </c>
      <c r="G507">
        <v>15</v>
      </c>
      <c r="H507" t="s">
        <v>16</v>
      </c>
      <c r="I507" s="2">
        <v>2579.31</v>
      </c>
      <c r="J507" s="2">
        <v>2867.36</v>
      </c>
      <c r="K507" t="s">
        <v>17</v>
      </c>
      <c r="L507" s="5">
        <v>0.04</v>
      </c>
      <c r="M507" t="s">
        <v>27</v>
      </c>
      <c r="N507" t="s">
        <v>22</v>
      </c>
      <c r="O507" t="s">
        <v>53</v>
      </c>
      <c r="P507" s="4">
        <f t="shared" si="14"/>
        <v>41289.983999999997</v>
      </c>
      <c r="Q507" s="4">
        <f t="shared" si="15"/>
        <v>2600.333999999998</v>
      </c>
      <c r="R507" t="str">
        <f>IF( Table1[[#This Row],[Total Amount after sale]] &gt; 0,"PROFIT","LOSS")</f>
        <v>PROFIT</v>
      </c>
      <c r="S507" s="3">
        <f>(Table1[[#This Row],[Total Amount after sale]]/Table1[[#This Row],[Price after discount]])</f>
        <v>6.2977355476814864E-2</v>
      </c>
    </row>
    <row r="508" spans="1:19" x14ac:dyDescent="0.3">
      <c r="A508">
        <v>1029</v>
      </c>
      <c r="B508" s="1">
        <v>45111</v>
      </c>
      <c r="C508" s="1">
        <f>DATE(YEAR(Table1[[#This Row],[Sale_Date]]), MONTH(Table1[[#This Row],[Sale_Date]]), 1)</f>
        <v>45108</v>
      </c>
      <c r="D508" t="s">
        <v>33</v>
      </c>
      <c r="E508" t="s">
        <v>15</v>
      </c>
      <c r="F508" s="2">
        <v>5240.32</v>
      </c>
      <c r="G508">
        <v>31</v>
      </c>
      <c r="H508" t="s">
        <v>16</v>
      </c>
      <c r="I508" s="2">
        <v>951.21</v>
      </c>
      <c r="J508" s="2">
        <v>1320.32</v>
      </c>
      <c r="K508" t="s">
        <v>30</v>
      </c>
      <c r="L508" s="5">
        <v>0.15</v>
      </c>
      <c r="M508" t="s">
        <v>18</v>
      </c>
      <c r="N508" t="s">
        <v>19</v>
      </c>
      <c r="O508" t="s">
        <v>53</v>
      </c>
      <c r="P508" s="4">
        <f t="shared" si="14"/>
        <v>34790.432000000001</v>
      </c>
      <c r="Q508" s="4">
        <f t="shared" si="15"/>
        <v>5302.9219999999968</v>
      </c>
      <c r="R508" t="str">
        <f>IF( Table1[[#This Row],[Total Amount after sale]] &gt; 0,"PROFIT","LOSS")</f>
        <v>PROFIT</v>
      </c>
      <c r="S508" s="3">
        <f>(Table1[[#This Row],[Total Amount after sale]]/Table1[[#This Row],[Price after discount]])</f>
        <v>0.15242472413104835</v>
      </c>
    </row>
    <row r="509" spans="1:19" x14ac:dyDescent="0.3">
      <c r="A509">
        <v>1067</v>
      </c>
      <c r="B509" s="1">
        <v>45112</v>
      </c>
      <c r="C509" s="1">
        <f>DATE(YEAR(Table1[[#This Row],[Sale_Date]]), MONTH(Table1[[#This Row],[Sale_Date]]), 1)</f>
        <v>45108</v>
      </c>
      <c r="D509" t="s">
        <v>42</v>
      </c>
      <c r="E509" t="s">
        <v>21</v>
      </c>
      <c r="F509" s="2">
        <v>6360.67</v>
      </c>
      <c r="G509">
        <v>27</v>
      </c>
      <c r="H509" t="s">
        <v>16</v>
      </c>
      <c r="I509" s="2">
        <v>3624.97</v>
      </c>
      <c r="J509" s="2">
        <v>3836.52</v>
      </c>
      <c r="K509" t="s">
        <v>30</v>
      </c>
      <c r="L509" s="5">
        <v>0.08</v>
      </c>
      <c r="M509" t="s">
        <v>18</v>
      </c>
      <c r="N509" t="s">
        <v>19</v>
      </c>
      <c r="O509" t="s">
        <v>51</v>
      </c>
      <c r="P509" s="4">
        <f t="shared" si="14"/>
        <v>95299.156800000012</v>
      </c>
      <c r="Q509" s="4">
        <f t="shared" si="15"/>
        <v>-2575.0331999999862</v>
      </c>
      <c r="R509" t="str">
        <f>IF( Table1[[#This Row],[Total Amount after sale]] &gt; 0,"PROFIT","LOSS")</f>
        <v>LOSS</v>
      </c>
      <c r="S509" s="3">
        <f>(Table1[[#This Row],[Total Amount after sale]]/Table1[[#This Row],[Price after discount]])</f>
        <v>-2.702052448799826E-2</v>
      </c>
    </row>
    <row r="510" spans="1:19" x14ac:dyDescent="0.3">
      <c r="A510">
        <v>1053</v>
      </c>
      <c r="B510" s="1">
        <v>45113</v>
      </c>
      <c r="C510" s="1">
        <f>DATE(YEAR(Table1[[#This Row],[Sale_Date]]), MONTH(Table1[[#This Row],[Sale_Date]]), 1)</f>
        <v>45108</v>
      </c>
      <c r="D510" t="s">
        <v>33</v>
      </c>
      <c r="E510" t="s">
        <v>34</v>
      </c>
      <c r="F510" s="2">
        <v>4396.8100000000004</v>
      </c>
      <c r="G510">
        <v>11</v>
      </c>
      <c r="H510" t="s">
        <v>35</v>
      </c>
      <c r="I510" s="2">
        <v>200.56</v>
      </c>
      <c r="J510" s="2">
        <v>540.38</v>
      </c>
      <c r="K510" t="s">
        <v>30</v>
      </c>
      <c r="L510" s="5">
        <v>0.18</v>
      </c>
      <c r="M510" t="s">
        <v>27</v>
      </c>
      <c r="N510" t="s">
        <v>19</v>
      </c>
      <c r="O510" t="s">
        <v>36</v>
      </c>
      <c r="P510" s="4">
        <f t="shared" si="14"/>
        <v>4874.2276000000002</v>
      </c>
      <c r="Q510" s="4">
        <f t="shared" si="15"/>
        <v>2668.0676000000003</v>
      </c>
      <c r="R510" t="str">
        <f>IF( Table1[[#This Row],[Total Amount after sale]] &gt; 0,"PROFIT","LOSS")</f>
        <v>PROFIT</v>
      </c>
      <c r="S510" s="3">
        <f>(Table1[[#This Row],[Total Amount after sale]]/Table1[[#This Row],[Price after discount]])</f>
        <v>0.54738264581653928</v>
      </c>
    </row>
    <row r="511" spans="1:19" x14ac:dyDescent="0.3">
      <c r="A511">
        <v>1055</v>
      </c>
      <c r="B511" s="1">
        <v>45113</v>
      </c>
      <c r="C511" s="1">
        <f>DATE(YEAR(Table1[[#This Row],[Sale_Date]]), MONTH(Table1[[#This Row],[Sale_Date]]), 1)</f>
        <v>45108</v>
      </c>
      <c r="D511" t="s">
        <v>38</v>
      </c>
      <c r="E511" t="s">
        <v>25</v>
      </c>
      <c r="F511" s="2">
        <v>1242.4100000000001</v>
      </c>
      <c r="G511">
        <v>16</v>
      </c>
      <c r="H511" t="s">
        <v>29</v>
      </c>
      <c r="I511" s="2">
        <v>4195.38</v>
      </c>
      <c r="J511" s="2">
        <v>4461.51</v>
      </c>
      <c r="K511" t="s">
        <v>17</v>
      </c>
      <c r="L511" s="5">
        <v>0.09</v>
      </c>
      <c r="M511" t="s">
        <v>27</v>
      </c>
      <c r="N511" t="s">
        <v>19</v>
      </c>
      <c r="O511" t="s">
        <v>39</v>
      </c>
      <c r="P511" s="4">
        <f t="shared" si="14"/>
        <v>64959.585600000006</v>
      </c>
      <c r="Q511" s="4">
        <f t="shared" si="15"/>
        <v>-2166.4943999999959</v>
      </c>
      <c r="R511" t="str">
        <f>IF( Table1[[#This Row],[Total Amount after sale]] &gt; 0,"PROFIT","LOSS")</f>
        <v>LOSS</v>
      </c>
      <c r="S511" s="3">
        <f>(Table1[[#This Row],[Total Amount after sale]]/Table1[[#This Row],[Price after discount]])</f>
        <v>-3.3351419655608082E-2</v>
      </c>
    </row>
    <row r="512" spans="1:19" x14ac:dyDescent="0.3">
      <c r="A512">
        <v>1004</v>
      </c>
      <c r="B512" s="1">
        <v>45114</v>
      </c>
      <c r="C512" s="1">
        <f>DATE(YEAR(Table1[[#This Row],[Sale_Date]]), MONTH(Table1[[#This Row],[Sale_Date]]), 1)</f>
        <v>45108</v>
      </c>
      <c r="D512" t="s">
        <v>38</v>
      </c>
      <c r="E512" t="s">
        <v>15</v>
      </c>
      <c r="F512" s="2">
        <v>6772.8</v>
      </c>
      <c r="G512">
        <v>35</v>
      </c>
      <c r="H512" t="s">
        <v>29</v>
      </c>
      <c r="I512" s="2">
        <v>2278.87</v>
      </c>
      <c r="J512" s="2">
        <v>2646.5299999999902</v>
      </c>
      <c r="K512" t="s">
        <v>17</v>
      </c>
      <c r="L512" s="5">
        <v>0.09</v>
      </c>
      <c r="M512" t="s">
        <v>27</v>
      </c>
      <c r="N512" t="s">
        <v>19</v>
      </c>
      <c r="O512" t="s">
        <v>40</v>
      </c>
      <c r="P512" s="4">
        <f t="shared" si="14"/>
        <v>84291.980499999685</v>
      </c>
      <c r="Q512" s="4">
        <f t="shared" si="15"/>
        <v>4531.5304999996943</v>
      </c>
      <c r="R512" t="str">
        <f>IF( Table1[[#This Row],[Total Amount after sale]] &gt; 0,"PROFIT","LOSS")</f>
        <v>PROFIT</v>
      </c>
      <c r="S512" s="3">
        <f>(Table1[[#This Row],[Total Amount after sale]]/Table1[[#This Row],[Price after discount]])</f>
        <v>5.3759924409412962E-2</v>
      </c>
    </row>
    <row r="513" spans="1:19" x14ac:dyDescent="0.3">
      <c r="A513">
        <v>1033</v>
      </c>
      <c r="B513" s="1">
        <v>45114</v>
      </c>
      <c r="C513" s="1">
        <f>DATE(YEAR(Table1[[#This Row],[Sale_Date]]), MONTH(Table1[[#This Row],[Sale_Date]]), 1)</f>
        <v>45108</v>
      </c>
      <c r="D513" t="s">
        <v>38</v>
      </c>
      <c r="E513" t="s">
        <v>34</v>
      </c>
      <c r="F513" s="2">
        <v>8775.56</v>
      </c>
      <c r="G513">
        <v>13</v>
      </c>
      <c r="H513" t="s">
        <v>26</v>
      </c>
      <c r="I513" s="2">
        <v>4342.53</v>
      </c>
      <c r="J513" s="2">
        <v>4357.49</v>
      </c>
      <c r="K513" t="s">
        <v>30</v>
      </c>
      <c r="L513" s="5">
        <v>0.08</v>
      </c>
      <c r="M513" t="s">
        <v>27</v>
      </c>
      <c r="N513" t="s">
        <v>19</v>
      </c>
      <c r="O513" t="s">
        <v>48</v>
      </c>
      <c r="P513" s="4">
        <f t="shared" si="14"/>
        <v>52115.580399999999</v>
      </c>
      <c r="Q513" s="4">
        <f t="shared" si="15"/>
        <v>-4337.309599999995</v>
      </c>
      <c r="R513" t="str">
        <f>IF( Table1[[#This Row],[Total Amount after sale]] &gt; 0,"PROFIT","LOSS")</f>
        <v>LOSS</v>
      </c>
      <c r="S513" s="3">
        <f>(Table1[[#This Row],[Total Amount after sale]]/Table1[[#This Row],[Price after discount]])</f>
        <v>-8.322481620102988E-2</v>
      </c>
    </row>
    <row r="514" spans="1:19" x14ac:dyDescent="0.3">
      <c r="A514">
        <v>1080</v>
      </c>
      <c r="B514" s="1">
        <v>45114</v>
      </c>
      <c r="C514" s="1">
        <f>DATE(YEAR(Table1[[#This Row],[Sale_Date]]), MONTH(Table1[[#This Row],[Sale_Date]]), 1)</f>
        <v>45108</v>
      </c>
      <c r="D514" t="s">
        <v>33</v>
      </c>
      <c r="E514" t="s">
        <v>21</v>
      </c>
      <c r="F514" s="2">
        <v>5993.5</v>
      </c>
      <c r="G514">
        <v>14</v>
      </c>
      <c r="H514" t="s">
        <v>26</v>
      </c>
      <c r="I514" s="2">
        <v>4127.54</v>
      </c>
      <c r="J514" s="2">
        <v>4495.13</v>
      </c>
      <c r="K514" t="s">
        <v>30</v>
      </c>
      <c r="L514" s="5">
        <v>0.06</v>
      </c>
      <c r="M514" t="s">
        <v>27</v>
      </c>
      <c r="N514" t="s">
        <v>22</v>
      </c>
      <c r="O514" t="s">
        <v>37</v>
      </c>
      <c r="P514" s="4">
        <f t="shared" ref="P514:P577" si="16" xml:space="preserve"> J514 * (1 - L514) * G514</f>
        <v>59155.910799999998</v>
      </c>
      <c r="Q514" s="4">
        <f t="shared" ref="Q514:Q577" si="17" xml:space="preserve"> (J514 * (1 - L514) - I514) * G514</f>
        <v>1370.3508000000002</v>
      </c>
      <c r="R514" t="str">
        <f>IF( Table1[[#This Row],[Total Amount after sale]] &gt; 0,"PROFIT","LOSS")</f>
        <v>PROFIT</v>
      </c>
      <c r="S514" s="3">
        <f>(Table1[[#This Row],[Total Amount after sale]]/Table1[[#This Row],[Price after discount]])</f>
        <v>2.3165069753266317E-2</v>
      </c>
    </row>
    <row r="515" spans="1:19" x14ac:dyDescent="0.3">
      <c r="A515">
        <v>1092</v>
      </c>
      <c r="B515" s="1">
        <v>45114</v>
      </c>
      <c r="C515" s="1">
        <f>DATE(YEAR(Table1[[#This Row],[Sale_Date]]), MONTH(Table1[[#This Row],[Sale_Date]]), 1)</f>
        <v>45108</v>
      </c>
      <c r="D515" t="s">
        <v>42</v>
      </c>
      <c r="E515" t="s">
        <v>25</v>
      </c>
      <c r="F515" s="2">
        <v>1039.69</v>
      </c>
      <c r="G515">
        <v>14</v>
      </c>
      <c r="H515" t="s">
        <v>16</v>
      </c>
      <c r="I515" s="2">
        <v>2559.65</v>
      </c>
      <c r="J515" s="2">
        <v>2709.4</v>
      </c>
      <c r="K515" t="s">
        <v>17</v>
      </c>
      <c r="L515" s="5">
        <v>0.11</v>
      </c>
      <c r="M515" t="s">
        <v>31</v>
      </c>
      <c r="N515" t="s">
        <v>22</v>
      </c>
      <c r="O515" t="s">
        <v>43</v>
      </c>
      <c r="P515" s="4">
        <f t="shared" si="16"/>
        <v>33759.123999999996</v>
      </c>
      <c r="Q515" s="4">
        <f t="shared" si="17"/>
        <v>-2075.9760000000015</v>
      </c>
      <c r="R515" t="str">
        <f>IF( Table1[[#This Row],[Total Amount after sale]] &gt; 0,"PROFIT","LOSS")</f>
        <v>LOSS</v>
      </c>
      <c r="S515" s="3">
        <f>(Table1[[#This Row],[Total Amount after sale]]/Table1[[#This Row],[Price after discount]])</f>
        <v>-6.1493775727119039E-2</v>
      </c>
    </row>
    <row r="516" spans="1:19" x14ac:dyDescent="0.3">
      <c r="A516">
        <v>1047</v>
      </c>
      <c r="B516" s="1">
        <v>45114</v>
      </c>
      <c r="C516" s="1">
        <f>DATE(YEAR(Table1[[#This Row],[Sale_Date]]), MONTH(Table1[[#This Row],[Sale_Date]]), 1)</f>
        <v>45108</v>
      </c>
      <c r="D516" t="s">
        <v>24</v>
      </c>
      <c r="E516" t="s">
        <v>25</v>
      </c>
      <c r="F516" s="2">
        <v>9519.2999999999993</v>
      </c>
      <c r="G516">
        <v>15</v>
      </c>
      <c r="H516" t="s">
        <v>29</v>
      </c>
      <c r="I516" s="2">
        <v>957.95</v>
      </c>
      <c r="J516" s="2">
        <v>1329.26</v>
      </c>
      <c r="K516" t="s">
        <v>30</v>
      </c>
      <c r="L516" s="5">
        <v>0.21</v>
      </c>
      <c r="M516" t="s">
        <v>18</v>
      </c>
      <c r="N516" t="s">
        <v>19</v>
      </c>
      <c r="O516" t="s">
        <v>28</v>
      </c>
      <c r="P516" s="4">
        <f t="shared" si="16"/>
        <v>15751.731000000002</v>
      </c>
      <c r="Q516" s="4">
        <f t="shared" si="17"/>
        <v>1382.4810000000014</v>
      </c>
      <c r="R516" t="str">
        <f>IF( Table1[[#This Row],[Total Amount after sale]] &gt; 0,"PROFIT","LOSS")</f>
        <v>PROFIT</v>
      </c>
      <c r="S516" s="3">
        <f>(Table1[[#This Row],[Total Amount after sale]]/Table1[[#This Row],[Price after discount]])</f>
        <v>8.7766925425529496E-2</v>
      </c>
    </row>
    <row r="517" spans="1:19" x14ac:dyDescent="0.3">
      <c r="A517">
        <v>1042</v>
      </c>
      <c r="B517" s="1">
        <v>45115</v>
      </c>
      <c r="C517" s="1">
        <f>DATE(YEAR(Table1[[#This Row],[Sale_Date]]), MONTH(Table1[[#This Row],[Sale_Date]]), 1)</f>
        <v>45108</v>
      </c>
      <c r="D517" t="s">
        <v>42</v>
      </c>
      <c r="E517" t="s">
        <v>34</v>
      </c>
      <c r="F517" s="2">
        <v>5947.31</v>
      </c>
      <c r="G517">
        <v>23</v>
      </c>
      <c r="H517" t="s">
        <v>35</v>
      </c>
      <c r="I517" s="2">
        <v>1314</v>
      </c>
      <c r="J517" s="2">
        <v>1567.78</v>
      </c>
      <c r="K517" t="s">
        <v>17</v>
      </c>
      <c r="L517" s="5">
        <v>0.15</v>
      </c>
      <c r="M517" t="s">
        <v>31</v>
      </c>
      <c r="N517" t="s">
        <v>22</v>
      </c>
      <c r="O517" t="s">
        <v>52</v>
      </c>
      <c r="P517" s="4">
        <f t="shared" si="16"/>
        <v>30650.098999999995</v>
      </c>
      <c r="Q517" s="4">
        <f t="shared" si="17"/>
        <v>428.09899999999607</v>
      </c>
      <c r="R517" t="str">
        <f>IF( Table1[[#This Row],[Total Amount after sale]] &gt; 0,"PROFIT","LOSS")</f>
        <v>PROFIT</v>
      </c>
      <c r="S517" s="3">
        <f>(Table1[[#This Row],[Total Amount after sale]]/Table1[[#This Row],[Price after discount]])</f>
        <v>1.3967295831572881E-2</v>
      </c>
    </row>
    <row r="518" spans="1:19" x14ac:dyDescent="0.3">
      <c r="A518">
        <v>1086</v>
      </c>
      <c r="B518" s="1">
        <v>45116</v>
      </c>
      <c r="C518" s="1">
        <f>DATE(YEAR(Table1[[#This Row],[Sale_Date]]), MONTH(Table1[[#This Row],[Sale_Date]]), 1)</f>
        <v>45108</v>
      </c>
      <c r="D518" t="s">
        <v>24</v>
      </c>
      <c r="E518" t="s">
        <v>15</v>
      </c>
      <c r="F518" s="2">
        <v>7041.28</v>
      </c>
      <c r="G518">
        <v>28</v>
      </c>
      <c r="H518" t="s">
        <v>26</v>
      </c>
      <c r="I518" s="2">
        <v>2564.35</v>
      </c>
      <c r="J518" s="2">
        <v>2765.79</v>
      </c>
      <c r="K518" t="s">
        <v>17</v>
      </c>
      <c r="L518" s="5">
        <v>0.17</v>
      </c>
      <c r="M518" t="s">
        <v>31</v>
      </c>
      <c r="N518" t="s">
        <v>19</v>
      </c>
      <c r="O518" t="s">
        <v>45</v>
      </c>
      <c r="P518" s="4">
        <f t="shared" si="16"/>
        <v>64276.959600000002</v>
      </c>
      <c r="Q518" s="4">
        <f t="shared" si="17"/>
        <v>-7524.8403999999955</v>
      </c>
      <c r="R518" t="str">
        <f>IF( Table1[[#This Row],[Total Amount after sale]] &gt; 0,"PROFIT","LOSS")</f>
        <v>LOSS</v>
      </c>
      <c r="S518" s="3">
        <f>(Table1[[#This Row],[Total Amount after sale]]/Table1[[#This Row],[Price after discount]])</f>
        <v>-0.11706901581573867</v>
      </c>
    </row>
    <row r="519" spans="1:19" x14ac:dyDescent="0.3">
      <c r="A519">
        <v>1047</v>
      </c>
      <c r="B519" s="1">
        <v>45117</v>
      </c>
      <c r="C519" s="1">
        <f>DATE(YEAR(Table1[[#This Row],[Sale_Date]]), MONTH(Table1[[#This Row],[Sale_Date]]), 1)</f>
        <v>45108</v>
      </c>
      <c r="D519" t="s">
        <v>24</v>
      </c>
      <c r="E519" t="s">
        <v>15</v>
      </c>
      <c r="F519" s="2">
        <v>6976.95</v>
      </c>
      <c r="G519">
        <v>36</v>
      </c>
      <c r="H519" t="s">
        <v>26</v>
      </c>
      <c r="I519" s="2">
        <v>4043.53</v>
      </c>
      <c r="J519" s="2">
        <v>4384.8500000000004</v>
      </c>
      <c r="K519" t="s">
        <v>30</v>
      </c>
      <c r="L519" s="5">
        <v>0.14000000000000001</v>
      </c>
      <c r="M519" t="s">
        <v>18</v>
      </c>
      <c r="N519" t="s">
        <v>19</v>
      </c>
      <c r="O519" t="s">
        <v>45</v>
      </c>
      <c r="P519" s="4">
        <f t="shared" si="16"/>
        <v>135754.95600000001</v>
      </c>
      <c r="Q519" s="4">
        <f t="shared" si="17"/>
        <v>-9812.1239999999907</v>
      </c>
      <c r="R519" t="str">
        <f>IF( Table1[[#This Row],[Total Amount after sale]] &gt; 0,"PROFIT","LOSS")</f>
        <v>LOSS</v>
      </c>
      <c r="S519" s="3">
        <f>(Table1[[#This Row],[Total Amount after sale]]/Table1[[#This Row],[Price after discount]])</f>
        <v>-7.2278201025677405E-2</v>
      </c>
    </row>
    <row r="520" spans="1:19" x14ac:dyDescent="0.3">
      <c r="A520">
        <v>1092</v>
      </c>
      <c r="B520" s="1">
        <v>45118</v>
      </c>
      <c r="C520" s="1">
        <f>DATE(YEAR(Table1[[#This Row],[Sale_Date]]), MONTH(Table1[[#This Row],[Sale_Date]]), 1)</f>
        <v>45108</v>
      </c>
      <c r="D520" t="s">
        <v>38</v>
      </c>
      <c r="E520" t="s">
        <v>34</v>
      </c>
      <c r="F520" s="2">
        <v>7667.1</v>
      </c>
      <c r="G520">
        <v>33</v>
      </c>
      <c r="H520" t="s">
        <v>35</v>
      </c>
      <c r="I520" s="2">
        <v>2595.42</v>
      </c>
      <c r="J520" s="2">
        <v>3083.06</v>
      </c>
      <c r="K520" t="s">
        <v>30</v>
      </c>
      <c r="L520" s="5">
        <v>0.08</v>
      </c>
      <c r="M520" t="s">
        <v>31</v>
      </c>
      <c r="N520" t="s">
        <v>19</v>
      </c>
      <c r="O520" t="s">
        <v>48</v>
      </c>
      <c r="P520" s="4">
        <f t="shared" si="16"/>
        <v>93601.7016</v>
      </c>
      <c r="Q520" s="4">
        <f t="shared" si="17"/>
        <v>7952.8415999999943</v>
      </c>
      <c r="R520" t="str">
        <f>IF( Table1[[#This Row],[Total Amount after sale]] &gt; 0,"PROFIT","LOSS")</f>
        <v>PROFIT</v>
      </c>
      <c r="S520" s="3">
        <f>(Table1[[#This Row],[Total Amount after sale]]/Table1[[#This Row],[Price after discount]])</f>
        <v>8.4964711795367562E-2</v>
      </c>
    </row>
    <row r="521" spans="1:19" x14ac:dyDescent="0.3">
      <c r="A521">
        <v>1025</v>
      </c>
      <c r="B521" s="1">
        <v>45118</v>
      </c>
      <c r="C521" s="1">
        <f>DATE(YEAR(Table1[[#This Row],[Sale_Date]]), MONTH(Table1[[#This Row],[Sale_Date]]), 1)</f>
        <v>45108</v>
      </c>
      <c r="D521" t="s">
        <v>33</v>
      </c>
      <c r="E521" t="s">
        <v>21</v>
      </c>
      <c r="F521" s="2">
        <v>5910.67</v>
      </c>
      <c r="G521">
        <v>40</v>
      </c>
      <c r="H521" t="s">
        <v>35</v>
      </c>
      <c r="I521" s="2">
        <v>2983.85</v>
      </c>
      <c r="J521" s="2">
        <v>3239.74</v>
      </c>
      <c r="K521" t="s">
        <v>30</v>
      </c>
      <c r="L521" s="5">
        <v>0.27</v>
      </c>
      <c r="M521" t="s">
        <v>31</v>
      </c>
      <c r="N521" t="s">
        <v>19</v>
      </c>
      <c r="O521" t="s">
        <v>37</v>
      </c>
      <c r="P521" s="4">
        <f t="shared" si="16"/>
        <v>94600.407999999996</v>
      </c>
      <c r="Q521" s="4">
        <f t="shared" si="17"/>
        <v>-24753.592000000008</v>
      </c>
      <c r="R521" t="str">
        <f>IF( Table1[[#This Row],[Total Amount after sale]] &gt; 0,"PROFIT","LOSS")</f>
        <v>LOSS</v>
      </c>
      <c r="S521" s="3">
        <f>(Table1[[#This Row],[Total Amount after sale]]/Table1[[#This Row],[Price after discount]])</f>
        <v>-0.26166474884548074</v>
      </c>
    </row>
    <row r="522" spans="1:19" x14ac:dyDescent="0.3">
      <c r="A522">
        <v>1058</v>
      </c>
      <c r="B522" s="1">
        <v>45119</v>
      </c>
      <c r="C522" s="1">
        <f>DATE(YEAR(Table1[[#This Row],[Sale_Date]]), MONTH(Table1[[#This Row],[Sale_Date]]), 1)</f>
        <v>45108</v>
      </c>
      <c r="D522" t="s">
        <v>38</v>
      </c>
      <c r="E522" t="s">
        <v>34</v>
      </c>
      <c r="F522" s="2">
        <v>9580.0499999999993</v>
      </c>
      <c r="G522">
        <v>14</v>
      </c>
      <c r="H522" t="s">
        <v>35</v>
      </c>
      <c r="I522" s="2">
        <v>2703.97</v>
      </c>
      <c r="J522" s="2">
        <v>2796.8799999999901</v>
      </c>
      <c r="K522" t="s">
        <v>30</v>
      </c>
      <c r="L522" s="5">
        <v>0.13</v>
      </c>
      <c r="M522" t="s">
        <v>27</v>
      </c>
      <c r="N522" t="s">
        <v>19</v>
      </c>
      <c r="O522" t="s">
        <v>48</v>
      </c>
      <c r="P522" s="4">
        <f t="shared" si="16"/>
        <v>34065.99839999988</v>
      </c>
      <c r="Q522" s="4">
        <f t="shared" si="17"/>
        <v>-3789.5816000001159</v>
      </c>
      <c r="R522" t="str">
        <f>IF( Table1[[#This Row],[Total Amount after sale]] &gt; 0,"PROFIT","LOSS")</f>
        <v>LOSS</v>
      </c>
      <c r="S522" s="3">
        <f>(Table1[[#This Row],[Total Amount after sale]]/Table1[[#This Row],[Price after discount]])</f>
        <v>-0.11124234656219938</v>
      </c>
    </row>
    <row r="523" spans="1:19" x14ac:dyDescent="0.3">
      <c r="A523">
        <v>1023</v>
      </c>
      <c r="B523" s="1">
        <v>45119</v>
      </c>
      <c r="C523" s="1">
        <f>DATE(YEAR(Table1[[#This Row],[Sale_Date]]), MONTH(Table1[[#This Row],[Sale_Date]]), 1)</f>
        <v>45108</v>
      </c>
      <c r="D523" t="s">
        <v>42</v>
      </c>
      <c r="E523" t="s">
        <v>15</v>
      </c>
      <c r="F523" s="2">
        <v>5051.12</v>
      </c>
      <c r="G523">
        <v>2</v>
      </c>
      <c r="H523" t="s">
        <v>26</v>
      </c>
      <c r="I523" s="2">
        <v>665.89</v>
      </c>
      <c r="J523" s="2">
        <v>944.79</v>
      </c>
      <c r="K523" t="s">
        <v>30</v>
      </c>
      <c r="L523" s="5">
        <v>0.1</v>
      </c>
      <c r="M523" t="s">
        <v>31</v>
      </c>
      <c r="N523" t="s">
        <v>22</v>
      </c>
      <c r="O523" t="s">
        <v>49</v>
      </c>
      <c r="P523" s="4">
        <f t="shared" si="16"/>
        <v>1700.6220000000001</v>
      </c>
      <c r="Q523" s="4">
        <f t="shared" si="17"/>
        <v>368.8420000000001</v>
      </c>
      <c r="R523" t="str">
        <f>IF( Table1[[#This Row],[Total Amount after sale]] &gt; 0,"PROFIT","LOSS")</f>
        <v>PROFIT</v>
      </c>
      <c r="S523" s="3">
        <f>(Table1[[#This Row],[Total Amount after sale]]/Table1[[#This Row],[Price after discount]])</f>
        <v>0.21688652739997488</v>
      </c>
    </row>
    <row r="524" spans="1:19" x14ac:dyDescent="0.3">
      <c r="A524">
        <v>1046</v>
      </c>
      <c r="B524" s="1">
        <v>45119</v>
      </c>
      <c r="C524" s="1">
        <f>DATE(YEAR(Table1[[#This Row],[Sale_Date]]), MONTH(Table1[[#This Row],[Sale_Date]]), 1)</f>
        <v>45108</v>
      </c>
      <c r="D524" t="s">
        <v>38</v>
      </c>
      <c r="E524" t="s">
        <v>15</v>
      </c>
      <c r="F524" s="2">
        <v>485.49</v>
      </c>
      <c r="G524">
        <v>17</v>
      </c>
      <c r="H524" t="s">
        <v>16</v>
      </c>
      <c r="I524" s="2">
        <v>3850.99</v>
      </c>
      <c r="J524" s="2">
        <v>4045.3399999999901</v>
      </c>
      <c r="K524" t="s">
        <v>17</v>
      </c>
      <c r="L524" s="5">
        <v>0.16</v>
      </c>
      <c r="M524" t="s">
        <v>31</v>
      </c>
      <c r="N524" t="s">
        <v>19</v>
      </c>
      <c r="O524" t="s">
        <v>40</v>
      </c>
      <c r="P524" s="4">
        <f t="shared" si="16"/>
        <v>57767.455199999858</v>
      </c>
      <c r="Q524" s="4">
        <f t="shared" si="17"/>
        <v>-7699.3748000001378</v>
      </c>
      <c r="R524" t="str">
        <f>IF( Table1[[#This Row],[Total Amount after sale]] &gt; 0,"PROFIT","LOSS")</f>
        <v>LOSS</v>
      </c>
      <c r="S524" s="3">
        <f>(Table1[[#This Row],[Total Amount after sale]]/Table1[[#This Row],[Price after discount]])</f>
        <v>-0.13328222220182129</v>
      </c>
    </row>
    <row r="525" spans="1:19" x14ac:dyDescent="0.3">
      <c r="A525">
        <v>1021</v>
      </c>
      <c r="B525" s="1">
        <v>45120</v>
      </c>
      <c r="C525" s="1">
        <f>DATE(YEAR(Table1[[#This Row],[Sale_Date]]), MONTH(Table1[[#This Row],[Sale_Date]]), 1)</f>
        <v>45108</v>
      </c>
      <c r="D525" t="s">
        <v>14</v>
      </c>
      <c r="E525" t="s">
        <v>21</v>
      </c>
      <c r="F525" s="2">
        <v>9638.64</v>
      </c>
      <c r="G525">
        <v>43</v>
      </c>
      <c r="H525" t="s">
        <v>16</v>
      </c>
      <c r="I525" s="2">
        <v>4154.3</v>
      </c>
      <c r="J525" s="2">
        <v>4469.07</v>
      </c>
      <c r="K525" t="s">
        <v>17</v>
      </c>
      <c r="L525" s="5">
        <v>0.23</v>
      </c>
      <c r="M525" t="s">
        <v>18</v>
      </c>
      <c r="N525" t="s">
        <v>22</v>
      </c>
      <c r="O525" t="s">
        <v>23</v>
      </c>
      <c r="P525" s="4">
        <f t="shared" si="16"/>
        <v>147970.90770000001</v>
      </c>
      <c r="Q525" s="4">
        <f t="shared" si="17"/>
        <v>-30663.992300000009</v>
      </c>
      <c r="R525" t="str">
        <f>IF( Table1[[#This Row],[Total Amount after sale]] &gt; 0,"PROFIT","LOSS")</f>
        <v>LOSS</v>
      </c>
      <c r="S525" s="3">
        <f>(Table1[[#This Row],[Total Amount after sale]]/Table1[[#This Row],[Price after discount]])</f>
        <v>-0.20722987225413908</v>
      </c>
    </row>
    <row r="526" spans="1:19" x14ac:dyDescent="0.3">
      <c r="A526">
        <v>1054</v>
      </c>
      <c r="B526" s="1">
        <v>45120</v>
      </c>
      <c r="C526" s="1">
        <f>DATE(YEAR(Table1[[#This Row],[Sale_Date]]), MONTH(Table1[[#This Row],[Sale_Date]]), 1)</f>
        <v>45108</v>
      </c>
      <c r="D526" t="s">
        <v>42</v>
      </c>
      <c r="E526" t="s">
        <v>25</v>
      </c>
      <c r="F526" s="2">
        <v>7002.37</v>
      </c>
      <c r="G526">
        <v>47</v>
      </c>
      <c r="H526" t="s">
        <v>26</v>
      </c>
      <c r="I526" s="2">
        <v>4429.8</v>
      </c>
      <c r="J526" s="2">
        <v>4694.21</v>
      </c>
      <c r="K526" t="s">
        <v>30</v>
      </c>
      <c r="L526" s="5">
        <v>0.25</v>
      </c>
      <c r="M526" t="s">
        <v>27</v>
      </c>
      <c r="N526" t="s">
        <v>19</v>
      </c>
      <c r="O526" t="s">
        <v>43</v>
      </c>
      <c r="P526" s="4">
        <f t="shared" si="16"/>
        <v>165470.90250000003</v>
      </c>
      <c r="Q526" s="4">
        <f t="shared" si="17"/>
        <v>-42729.697499999995</v>
      </c>
      <c r="R526" t="str">
        <f>IF( Table1[[#This Row],[Total Amount after sale]] &gt; 0,"PROFIT","LOSS")</f>
        <v>LOSS</v>
      </c>
      <c r="S526" s="3">
        <f>(Table1[[#This Row],[Total Amount after sale]]/Table1[[#This Row],[Price after discount]])</f>
        <v>-0.25823088442996789</v>
      </c>
    </row>
    <row r="527" spans="1:19" x14ac:dyDescent="0.3">
      <c r="A527">
        <v>1004</v>
      </c>
      <c r="B527" s="1">
        <v>45120</v>
      </c>
      <c r="C527" s="1">
        <f>DATE(YEAR(Table1[[#This Row],[Sale_Date]]), MONTH(Table1[[#This Row],[Sale_Date]]), 1)</f>
        <v>45108</v>
      </c>
      <c r="D527" t="s">
        <v>38</v>
      </c>
      <c r="E527" t="s">
        <v>34</v>
      </c>
      <c r="F527" s="2">
        <v>1526.38</v>
      </c>
      <c r="G527">
        <v>16</v>
      </c>
      <c r="H527" t="s">
        <v>29</v>
      </c>
      <c r="I527" s="2">
        <v>1067.83</v>
      </c>
      <c r="J527" s="2">
        <v>1189.22</v>
      </c>
      <c r="K527" t="s">
        <v>17</v>
      </c>
      <c r="L527" s="5">
        <v>0.26</v>
      </c>
      <c r="M527" t="s">
        <v>31</v>
      </c>
      <c r="N527" t="s">
        <v>22</v>
      </c>
      <c r="O527" t="s">
        <v>48</v>
      </c>
      <c r="P527" s="4">
        <f t="shared" si="16"/>
        <v>14080.364799999999</v>
      </c>
      <c r="Q527" s="4">
        <f t="shared" si="17"/>
        <v>-3004.9151999999995</v>
      </c>
      <c r="R527" t="str">
        <f>IF( Table1[[#This Row],[Total Amount after sale]] &gt; 0,"PROFIT","LOSS")</f>
        <v>LOSS</v>
      </c>
      <c r="S527" s="3">
        <f>(Table1[[#This Row],[Total Amount after sale]]/Table1[[#This Row],[Price after discount]])</f>
        <v>-0.21341174342301128</v>
      </c>
    </row>
    <row r="528" spans="1:19" x14ac:dyDescent="0.3">
      <c r="A528">
        <v>1030</v>
      </c>
      <c r="B528" s="1">
        <v>45121</v>
      </c>
      <c r="C528" s="1">
        <f>DATE(YEAR(Table1[[#This Row],[Sale_Date]]), MONTH(Table1[[#This Row],[Sale_Date]]), 1)</f>
        <v>45108</v>
      </c>
      <c r="D528" t="s">
        <v>14</v>
      </c>
      <c r="E528" t="s">
        <v>34</v>
      </c>
      <c r="F528" s="2">
        <v>3407.09</v>
      </c>
      <c r="G528">
        <v>39</v>
      </c>
      <c r="H528" t="s">
        <v>29</v>
      </c>
      <c r="I528" s="2">
        <v>4929.7299999999996</v>
      </c>
      <c r="J528" s="2">
        <v>5088.0199999999904</v>
      </c>
      <c r="K528" t="s">
        <v>30</v>
      </c>
      <c r="L528" s="5">
        <v>0.23</v>
      </c>
      <c r="M528" t="s">
        <v>27</v>
      </c>
      <c r="N528" t="s">
        <v>22</v>
      </c>
      <c r="O528" t="s">
        <v>46</v>
      </c>
      <c r="P528" s="4">
        <f t="shared" si="16"/>
        <v>152793.24059999973</v>
      </c>
      <c r="Q528" s="4">
        <f t="shared" si="17"/>
        <v>-39466.229400000266</v>
      </c>
      <c r="R528" t="str">
        <f>IF( Table1[[#This Row],[Total Amount after sale]] &gt; 0,"PROFIT","LOSS")</f>
        <v>LOSS</v>
      </c>
      <c r="S528" s="3">
        <f>(Table1[[#This Row],[Total Amount after sale]]/Table1[[#This Row],[Price after discount]])</f>
        <v>-0.25829826794052785</v>
      </c>
    </row>
    <row r="529" spans="1:19" x14ac:dyDescent="0.3">
      <c r="A529">
        <v>1027</v>
      </c>
      <c r="B529" s="1">
        <v>45121</v>
      </c>
      <c r="C529" s="1">
        <f>DATE(YEAR(Table1[[#This Row],[Sale_Date]]), MONTH(Table1[[#This Row],[Sale_Date]]), 1)</f>
        <v>45108</v>
      </c>
      <c r="D529" t="s">
        <v>14</v>
      </c>
      <c r="E529" t="s">
        <v>25</v>
      </c>
      <c r="F529" s="2">
        <v>6650.67</v>
      </c>
      <c r="G529">
        <v>22</v>
      </c>
      <c r="H529" t="s">
        <v>26</v>
      </c>
      <c r="I529" s="2">
        <v>3240.2</v>
      </c>
      <c r="J529" s="2">
        <v>3606.0899999999901</v>
      </c>
      <c r="K529" t="s">
        <v>30</v>
      </c>
      <c r="L529" s="5">
        <v>7.0000000000000007E-2</v>
      </c>
      <c r="M529" t="s">
        <v>18</v>
      </c>
      <c r="N529" t="s">
        <v>19</v>
      </c>
      <c r="O529" t="s">
        <v>32</v>
      </c>
      <c r="P529" s="4">
        <f t="shared" si="16"/>
        <v>73780.601399999796</v>
      </c>
      <c r="Q529" s="4">
        <f t="shared" si="17"/>
        <v>2496.2013999997953</v>
      </c>
      <c r="R529" t="str">
        <f>IF( Table1[[#This Row],[Total Amount after sale]] &gt; 0,"PROFIT","LOSS")</f>
        <v>PROFIT</v>
      </c>
      <c r="S529" s="3">
        <f>(Table1[[#This Row],[Total Amount after sale]]/Table1[[#This Row],[Price after discount]])</f>
        <v>3.3832760273485682E-2</v>
      </c>
    </row>
    <row r="530" spans="1:19" x14ac:dyDescent="0.3">
      <c r="A530">
        <v>1081</v>
      </c>
      <c r="B530" s="1">
        <v>45121</v>
      </c>
      <c r="C530" s="1">
        <f>DATE(YEAR(Table1[[#This Row],[Sale_Date]]), MONTH(Table1[[#This Row],[Sale_Date]]), 1)</f>
        <v>45108</v>
      </c>
      <c r="D530" t="s">
        <v>38</v>
      </c>
      <c r="E530" t="s">
        <v>15</v>
      </c>
      <c r="F530" s="2">
        <v>7001.64</v>
      </c>
      <c r="G530">
        <v>16</v>
      </c>
      <c r="H530" t="s">
        <v>29</v>
      </c>
      <c r="I530" s="2">
        <v>2530.15</v>
      </c>
      <c r="J530" s="2">
        <v>2568.13</v>
      </c>
      <c r="K530" t="s">
        <v>30</v>
      </c>
      <c r="L530" s="5">
        <v>0.01</v>
      </c>
      <c r="M530" t="s">
        <v>31</v>
      </c>
      <c r="N530" t="s">
        <v>19</v>
      </c>
      <c r="O530" t="s">
        <v>40</v>
      </c>
      <c r="P530" s="4">
        <f t="shared" si="16"/>
        <v>40679.179199999999</v>
      </c>
      <c r="Q530" s="4">
        <f t="shared" si="17"/>
        <v>196.77919999999722</v>
      </c>
      <c r="R530" t="str">
        <f>IF( Table1[[#This Row],[Total Amount after sale]] &gt; 0,"PROFIT","LOSS")</f>
        <v>PROFIT</v>
      </c>
      <c r="S530" s="3">
        <f>(Table1[[#This Row],[Total Amount after sale]]/Table1[[#This Row],[Price after discount]])</f>
        <v>4.8373444073816817E-3</v>
      </c>
    </row>
    <row r="531" spans="1:19" x14ac:dyDescent="0.3">
      <c r="A531">
        <v>1052</v>
      </c>
      <c r="B531" s="1">
        <v>45122</v>
      </c>
      <c r="C531" s="1">
        <f>DATE(YEAR(Table1[[#This Row],[Sale_Date]]), MONTH(Table1[[#This Row],[Sale_Date]]), 1)</f>
        <v>45108</v>
      </c>
      <c r="D531" t="s">
        <v>33</v>
      </c>
      <c r="E531" t="s">
        <v>34</v>
      </c>
      <c r="F531" s="2">
        <v>1700.55</v>
      </c>
      <c r="G531">
        <v>48</v>
      </c>
      <c r="H531" t="s">
        <v>26</v>
      </c>
      <c r="I531" s="2">
        <v>3002.35</v>
      </c>
      <c r="J531" s="2">
        <v>3080.61</v>
      </c>
      <c r="K531" t="s">
        <v>17</v>
      </c>
      <c r="L531" s="5">
        <v>0.18</v>
      </c>
      <c r="M531" t="s">
        <v>27</v>
      </c>
      <c r="N531" t="s">
        <v>22</v>
      </c>
      <c r="O531" t="s">
        <v>36</v>
      </c>
      <c r="P531" s="4">
        <f t="shared" si="16"/>
        <v>121252.80960000001</v>
      </c>
      <c r="Q531" s="4">
        <f t="shared" si="17"/>
        <v>-22859.990399999981</v>
      </c>
      <c r="R531" t="str">
        <f>IF( Table1[[#This Row],[Total Amount after sale]] &gt; 0,"PROFIT","LOSS")</f>
        <v>LOSS</v>
      </c>
      <c r="S531" s="3">
        <f>(Table1[[#This Row],[Total Amount after sale]]/Table1[[#This Row],[Price after discount]])</f>
        <v>-0.18853163465170525</v>
      </c>
    </row>
    <row r="532" spans="1:19" x14ac:dyDescent="0.3">
      <c r="A532">
        <v>1017</v>
      </c>
      <c r="B532" s="1">
        <v>45122</v>
      </c>
      <c r="C532" s="1">
        <f>DATE(YEAR(Table1[[#This Row],[Sale_Date]]), MONTH(Table1[[#This Row],[Sale_Date]]), 1)</f>
        <v>45108</v>
      </c>
      <c r="D532" t="s">
        <v>24</v>
      </c>
      <c r="E532" t="s">
        <v>15</v>
      </c>
      <c r="F532" s="2">
        <v>5705.19</v>
      </c>
      <c r="G532">
        <v>23</v>
      </c>
      <c r="H532" t="s">
        <v>35</v>
      </c>
      <c r="I532" s="2">
        <v>1771.52</v>
      </c>
      <c r="J532" s="2">
        <v>2147.8000000000002</v>
      </c>
      <c r="K532" t="s">
        <v>30</v>
      </c>
      <c r="L532" s="5">
        <v>7.0000000000000007E-2</v>
      </c>
      <c r="M532" t="s">
        <v>27</v>
      </c>
      <c r="N532" t="s">
        <v>19</v>
      </c>
      <c r="O532" t="s">
        <v>45</v>
      </c>
      <c r="P532" s="4">
        <f t="shared" si="16"/>
        <v>45941.441999999995</v>
      </c>
      <c r="Q532" s="4">
        <f t="shared" si="17"/>
        <v>5196.4819999999991</v>
      </c>
      <c r="R532" t="str">
        <f>IF( Table1[[#This Row],[Total Amount after sale]] &gt; 0,"PROFIT","LOSS")</f>
        <v>PROFIT</v>
      </c>
      <c r="S532" s="3">
        <f>(Table1[[#This Row],[Total Amount after sale]]/Table1[[#This Row],[Price after discount]])</f>
        <v>0.11311099029063998</v>
      </c>
    </row>
    <row r="533" spans="1:19" x14ac:dyDescent="0.3">
      <c r="A533">
        <v>1017</v>
      </c>
      <c r="B533" s="1">
        <v>45123</v>
      </c>
      <c r="C533" s="1">
        <f>DATE(YEAR(Table1[[#This Row],[Sale_Date]]), MONTH(Table1[[#This Row],[Sale_Date]]), 1)</f>
        <v>45108</v>
      </c>
      <c r="D533" t="s">
        <v>42</v>
      </c>
      <c r="E533" t="s">
        <v>25</v>
      </c>
      <c r="F533" s="2">
        <v>3137.09</v>
      </c>
      <c r="G533">
        <v>18</v>
      </c>
      <c r="H533" t="s">
        <v>16</v>
      </c>
      <c r="I533" s="2">
        <v>1069.73</v>
      </c>
      <c r="J533" s="2">
        <v>1180.04</v>
      </c>
      <c r="K533" t="s">
        <v>17</v>
      </c>
      <c r="L533" s="5">
        <v>0.22</v>
      </c>
      <c r="M533" t="s">
        <v>27</v>
      </c>
      <c r="N533" t="s">
        <v>19</v>
      </c>
      <c r="O533" t="s">
        <v>43</v>
      </c>
      <c r="P533" s="4">
        <f t="shared" si="16"/>
        <v>16567.761599999998</v>
      </c>
      <c r="Q533" s="4">
        <f t="shared" si="17"/>
        <v>-2687.3784000000005</v>
      </c>
      <c r="R533" t="str">
        <f>IF( Table1[[#This Row],[Total Amount after sale]] &gt; 0,"PROFIT","LOSS")</f>
        <v>LOSS</v>
      </c>
      <c r="S533" s="3">
        <f>(Table1[[#This Row],[Total Amount after sale]]/Table1[[#This Row],[Price after discount]])</f>
        <v>-0.16220527943859361</v>
      </c>
    </row>
    <row r="534" spans="1:19" x14ac:dyDescent="0.3">
      <c r="A534">
        <v>1030</v>
      </c>
      <c r="B534" s="1">
        <v>45124</v>
      </c>
      <c r="C534" s="1">
        <f>DATE(YEAR(Table1[[#This Row],[Sale_Date]]), MONTH(Table1[[#This Row],[Sale_Date]]), 1)</f>
        <v>45108</v>
      </c>
      <c r="D534" t="s">
        <v>24</v>
      </c>
      <c r="E534" t="s">
        <v>21</v>
      </c>
      <c r="F534" s="2">
        <v>3023.48</v>
      </c>
      <c r="G534">
        <v>19</v>
      </c>
      <c r="H534" t="s">
        <v>29</v>
      </c>
      <c r="I534" s="2">
        <v>3049.33</v>
      </c>
      <c r="J534" s="2">
        <v>3209.22</v>
      </c>
      <c r="K534" t="s">
        <v>17</v>
      </c>
      <c r="L534" s="5">
        <v>0.26</v>
      </c>
      <c r="M534" t="s">
        <v>18</v>
      </c>
      <c r="N534" t="s">
        <v>19</v>
      </c>
      <c r="O534" t="s">
        <v>47</v>
      </c>
      <c r="P534" s="4">
        <f t="shared" si="16"/>
        <v>45121.633199999997</v>
      </c>
      <c r="Q534" s="4">
        <f t="shared" si="17"/>
        <v>-12815.6368</v>
      </c>
      <c r="R534" t="str">
        <f>IF( Table1[[#This Row],[Total Amount after sale]] &gt; 0,"PROFIT","LOSS")</f>
        <v>LOSS</v>
      </c>
      <c r="S534" s="3">
        <f>(Table1[[#This Row],[Total Amount after sale]]/Table1[[#This Row],[Price after discount]])</f>
        <v>-0.28402422277569511</v>
      </c>
    </row>
    <row r="535" spans="1:19" x14ac:dyDescent="0.3">
      <c r="A535">
        <v>1003</v>
      </c>
      <c r="B535" s="1">
        <v>45124</v>
      </c>
      <c r="C535" s="1">
        <f>DATE(YEAR(Table1[[#This Row],[Sale_Date]]), MONTH(Table1[[#This Row],[Sale_Date]]), 1)</f>
        <v>45108</v>
      </c>
      <c r="D535" t="s">
        <v>38</v>
      </c>
      <c r="E535" t="s">
        <v>21</v>
      </c>
      <c r="F535" s="2">
        <v>5738.44</v>
      </c>
      <c r="G535">
        <v>15</v>
      </c>
      <c r="H535" t="s">
        <v>35</v>
      </c>
      <c r="I535" s="2">
        <v>1729.14</v>
      </c>
      <c r="J535" s="2">
        <v>1870.88</v>
      </c>
      <c r="K535" t="s">
        <v>17</v>
      </c>
      <c r="L535" s="5">
        <v>0.23</v>
      </c>
      <c r="M535" t="s">
        <v>18</v>
      </c>
      <c r="N535" t="s">
        <v>19</v>
      </c>
      <c r="O535" t="s">
        <v>41</v>
      </c>
      <c r="P535" s="4">
        <f t="shared" si="16"/>
        <v>21608.664000000001</v>
      </c>
      <c r="Q535" s="4">
        <f t="shared" si="17"/>
        <v>-4328.4360000000006</v>
      </c>
      <c r="R535" t="str">
        <f>IF( Table1[[#This Row],[Total Amount after sale]] &gt; 0,"PROFIT","LOSS")</f>
        <v>LOSS</v>
      </c>
      <c r="S535" s="3">
        <f>(Table1[[#This Row],[Total Amount after sale]]/Table1[[#This Row],[Price after discount]])</f>
        <v>-0.20031020890509477</v>
      </c>
    </row>
    <row r="536" spans="1:19" x14ac:dyDescent="0.3">
      <c r="A536">
        <v>1019</v>
      </c>
      <c r="B536" s="1">
        <v>45124</v>
      </c>
      <c r="C536" s="1">
        <f>DATE(YEAR(Table1[[#This Row],[Sale_Date]]), MONTH(Table1[[#This Row],[Sale_Date]]), 1)</f>
        <v>45108</v>
      </c>
      <c r="D536" t="s">
        <v>24</v>
      </c>
      <c r="E536" t="s">
        <v>25</v>
      </c>
      <c r="F536" s="2">
        <v>7320.51</v>
      </c>
      <c r="G536">
        <v>14</v>
      </c>
      <c r="H536" t="s">
        <v>29</v>
      </c>
      <c r="I536" s="2">
        <v>1614.19</v>
      </c>
      <c r="J536" s="2">
        <v>1882.79</v>
      </c>
      <c r="K536" t="s">
        <v>30</v>
      </c>
      <c r="L536" s="5">
        <v>0.25</v>
      </c>
      <c r="M536" t="s">
        <v>31</v>
      </c>
      <c r="N536" t="s">
        <v>22</v>
      </c>
      <c r="O536" t="s">
        <v>28</v>
      </c>
      <c r="P536" s="4">
        <f t="shared" si="16"/>
        <v>19769.294999999998</v>
      </c>
      <c r="Q536" s="4">
        <f t="shared" si="17"/>
        <v>-2829.3650000000011</v>
      </c>
      <c r="R536" t="str">
        <f>IF( Table1[[#This Row],[Total Amount after sale]] &gt; 0,"PROFIT","LOSS")</f>
        <v>LOSS</v>
      </c>
      <c r="S536" s="3">
        <f>(Table1[[#This Row],[Total Amount after sale]]/Table1[[#This Row],[Price after discount]])</f>
        <v>-0.14311916535212821</v>
      </c>
    </row>
    <row r="537" spans="1:19" x14ac:dyDescent="0.3">
      <c r="A537">
        <v>1090</v>
      </c>
      <c r="B537" s="1">
        <v>45124</v>
      </c>
      <c r="C537" s="1">
        <f>DATE(YEAR(Table1[[#This Row],[Sale_Date]]), MONTH(Table1[[#This Row],[Sale_Date]]), 1)</f>
        <v>45108</v>
      </c>
      <c r="D537" t="s">
        <v>24</v>
      </c>
      <c r="E537" t="s">
        <v>15</v>
      </c>
      <c r="F537" s="2">
        <v>5076.05</v>
      </c>
      <c r="G537">
        <v>14</v>
      </c>
      <c r="H537" t="s">
        <v>35</v>
      </c>
      <c r="I537" s="2">
        <v>1350.47</v>
      </c>
      <c r="J537" s="2">
        <v>1514.61</v>
      </c>
      <c r="K537" t="s">
        <v>30</v>
      </c>
      <c r="L537" s="5">
        <v>0.2</v>
      </c>
      <c r="M537" t="s">
        <v>31</v>
      </c>
      <c r="N537" t="s">
        <v>22</v>
      </c>
      <c r="O537" t="s">
        <v>45</v>
      </c>
      <c r="P537" s="4">
        <f t="shared" si="16"/>
        <v>16963.631999999998</v>
      </c>
      <c r="Q537" s="4">
        <f t="shared" si="17"/>
        <v>-1942.9480000000021</v>
      </c>
      <c r="R537" t="str">
        <f>IF( Table1[[#This Row],[Total Amount after sale]] &gt; 0,"PROFIT","LOSS")</f>
        <v>LOSS</v>
      </c>
      <c r="S537" s="3">
        <f>(Table1[[#This Row],[Total Amount after sale]]/Table1[[#This Row],[Price after discount]])</f>
        <v>-0.11453608519684949</v>
      </c>
    </row>
    <row r="538" spans="1:19" x14ac:dyDescent="0.3">
      <c r="A538">
        <v>1089</v>
      </c>
      <c r="B538" s="1">
        <v>45124</v>
      </c>
      <c r="C538" s="1">
        <f>DATE(YEAR(Table1[[#This Row],[Sale_Date]]), MONTH(Table1[[#This Row],[Sale_Date]]), 1)</f>
        <v>45108</v>
      </c>
      <c r="D538" t="s">
        <v>33</v>
      </c>
      <c r="E538" t="s">
        <v>15</v>
      </c>
      <c r="F538" s="2">
        <v>3438.35</v>
      </c>
      <c r="G538">
        <v>31</v>
      </c>
      <c r="H538" t="s">
        <v>29</v>
      </c>
      <c r="I538" s="2">
        <v>845.14</v>
      </c>
      <c r="J538" s="2">
        <v>1001.77</v>
      </c>
      <c r="K538" t="s">
        <v>30</v>
      </c>
      <c r="L538" s="5">
        <v>0.03</v>
      </c>
      <c r="M538" t="s">
        <v>18</v>
      </c>
      <c r="N538" t="s">
        <v>19</v>
      </c>
      <c r="O538" t="s">
        <v>53</v>
      </c>
      <c r="P538" s="4">
        <f t="shared" si="16"/>
        <v>30123.223900000001</v>
      </c>
      <c r="Q538" s="4">
        <f t="shared" si="17"/>
        <v>3923.8839000000007</v>
      </c>
      <c r="R538" t="str">
        <f>IF( Table1[[#This Row],[Total Amount after sale]] &gt; 0,"PROFIT","LOSS")</f>
        <v>PROFIT</v>
      </c>
      <c r="S538" s="3">
        <f>(Table1[[#This Row],[Total Amount after sale]]/Table1[[#This Row],[Price after discount]])</f>
        <v>0.13026108735990907</v>
      </c>
    </row>
    <row r="539" spans="1:19" x14ac:dyDescent="0.3">
      <c r="A539">
        <v>1052</v>
      </c>
      <c r="B539" s="1">
        <v>45125</v>
      </c>
      <c r="C539" s="1">
        <f>DATE(YEAR(Table1[[#This Row],[Sale_Date]]), MONTH(Table1[[#This Row],[Sale_Date]]), 1)</f>
        <v>45108</v>
      </c>
      <c r="D539" t="s">
        <v>38</v>
      </c>
      <c r="E539" t="s">
        <v>25</v>
      </c>
      <c r="F539" s="2">
        <v>6675.77</v>
      </c>
      <c r="G539">
        <v>42</v>
      </c>
      <c r="H539" t="s">
        <v>35</v>
      </c>
      <c r="I539" s="2">
        <v>417.96</v>
      </c>
      <c r="J539" s="2">
        <v>907.63</v>
      </c>
      <c r="K539" t="s">
        <v>30</v>
      </c>
      <c r="L539" s="5">
        <v>0.04</v>
      </c>
      <c r="M539" t="s">
        <v>18</v>
      </c>
      <c r="N539" t="s">
        <v>22</v>
      </c>
      <c r="O539" t="s">
        <v>39</v>
      </c>
      <c r="P539" s="4">
        <f t="shared" si="16"/>
        <v>36595.641600000003</v>
      </c>
      <c r="Q539" s="4">
        <f t="shared" si="17"/>
        <v>19041.321599999999</v>
      </c>
      <c r="R539" t="str">
        <f>IF( Table1[[#This Row],[Total Amount after sale]] &gt; 0,"PROFIT","LOSS")</f>
        <v>PROFIT</v>
      </c>
      <c r="S539" s="3">
        <f>(Table1[[#This Row],[Total Amount after sale]]/Table1[[#This Row],[Price after discount]])</f>
        <v>0.52031664885470941</v>
      </c>
    </row>
    <row r="540" spans="1:19" x14ac:dyDescent="0.3">
      <c r="A540">
        <v>1019</v>
      </c>
      <c r="B540" s="1">
        <v>45125</v>
      </c>
      <c r="C540" s="1">
        <f>DATE(YEAR(Table1[[#This Row],[Sale_Date]]), MONTH(Table1[[#This Row],[Sale_Date]]), 1)</f>
        <v>45108</v>
      </c>
      <c r="D540" t="s">
        <v>42</v>
      </c>
      <c r="E540" t="s">
        <v>15</v>
      </c>
      <c r="F540" s="2">
        <v>7948.31</v>
      </c>
      <c r="G540">
        <v>12</v>
      </c>
      <c r="H540" t="s">
        <v>29</v>
      </c>
      <c r="I540" s="2">
        <v>4745.18</v>
      </c>
      <c r="J540" s="2">
        <v>5145.88</v>
      </c>
      <c r="K540" t="s">
        <v>17</v>
      </c>
      <c r="L540" s="5">
        <v>0.19</v>
      </c>
      <c r="M540" t="s">
        <v>31</v>
      </c>
      <c r="N540" t="s">
        <v>19</v>
      </c>
      <c r="O540" t="s">
        <v>49</v>
      </c>
      <c r="P540" s="4">
        <f t="shared" si="16"/>
        <v>50017.953600000001</v>
      </c>
      <c r="Q540" s="4">
        <f t="shared" si="17"/>
        <v>-6924.2064000000028</v>
      </c>
      <c r="R540" t="str">
        <f>IF( Table1[[#This Row],[Total Amount after sale]] &gt; 0,"PROFIT","LOSS")</f>
        <v>LOSS</v>
      </c>
      <c r="S540" s="3">
        <f>(Table1[[#This Row],[Total Amount after sale]]/Table1[[#This Row],[Price after discount]])</f>
        <v>-0.13843442007591455</v>
      </c>
    </row>
    <row r="541" spans="1:19" x14ac:dyDescent="0.3">
      <c r="A541">
        <v>1050</v>
      </c>
      <c r="B541" s="1">
        <v>45125</v>
      </c>
      <c r="C541" s="1">
        <f>DATE(YEAR(Table1[[#This Row],[Sale_Date]]), MONTH(Table1[[#This Row],[Sale_Date]]), 1)</f>
        <v>45108</v>
      </c>
      <c r="D541" t="s">
        <v>38</v>
      </c>
      <c r="E541" t="s">
        <v>25</v>
      </c>
      <c r="F541" s="2">
        <v>6107.78</v>
      </c>
      <c r="G541">
        <v>43</v>
      </c>
      <c r="H541" t="s">
        <v>16</v>
      </c>
      <c r="I541" s="2">
        <v>4834.47</v>
      </c>
      <c r="J541" s="2">
        <v>4973.38</v>
      </c>
      <c r="K541" t="s">
        <v>17</v>
      </c>
      <c r="L541" s="5">
        <v>0.03</v>
      </c>
      <c r="M541" t="s">
        <v>27</v>
      </c>
      <c r="N541" t="s">
        <v>19</v>
      </c>
      <c r="O541" t="s">
        <v>39</v>
      </c>
      <c r="P541" s="4">
        <f t="shared" si="16"/>
        <v>207439.67980000001</v>
      </c>
      <c r="Q541" s="4">
        <f t="shared" si="17"/>
        <v>-442.53020000000288</v>
      </c>
      <c r="R541" t="str">
        <f>IF( Table1[[#This Row],[Total Amount after sale]] &gt; 0,"PROFIT","LOSS")</f>
        <v>LOSS</v>
      </c>
      <c r="S541" s="3">
        <f>(Table1[[#This Row],[Total Amount after sale]]/Table1[[#This Row],[Price after discount]])</f>
        <v>-2.1332958112288934E-3</v>
      </c>
    </row>
    <row r="542" spans="1:19" x14ac:dyDescent="0.3">
      <c r="A542">
        <v>1062</v>
      </c>
      <c r="B542" s="1">
        <v>45126</v>
      </c>
      <c r="C542" s="1">
        <f>DATE(YEAR(Table1[[#This Row],[Sale_Date]]), MONTH(Table1[[#This Row],[Sale_Date]]), 1)</f>
        <v>45108</v>
      </c>
      <c r="D542" t="s">
        <v>33</v>
      </c>
      <c r="E542" t="s">
        <v>15</v>
      </c>
      <c r="F542" s="2">
        <v>5684.33</v>
      </c>
      <c r="G542">
        <v>10</v>
      </c>
      <c r="H542" t="s">
        <v>35</v>
      </c>
      <c r="I542" s="2">
        <v>2940.4</v>
      </c>
      <c r="J542" s="2">
        <v>3054.79</v>
      </c>
      <c r="K542" t="s">
        <v>17</v>
      </c>
      <c r="L542" s="5">
        <v>0.08</v>
      </c>
      <c r="M542" t="s">
        <v>31</v>
      </c>
      <c r="N542" t="s">
        <v>19</v>
      </c>
      <c r="O542" t="s">
        <v>53</v>
      </c>
      <c r="P542" s="4">
        <f t="shared" si="16"/>
        <v>28104.068000000003</v>
      </c>
      <c r="Q542" s="4">
        <f t="shared" si="17"/>
        <v>-1299.9319999999989</v>
      </c>
      <c r="R542" t="str">
        <f>IF( Table1[[#This Row],[Total Amount after sale]] &gt; 0,"PROFIT","LOSS")</f>
        <v>LOSS</v>
      </c>
      <c r="S542" s="3">
        <f>(Table1[[#This Row],[Total Amount after sale]]/Table1[[#This Row],[Price after discount]])</f>
        <v>-4.6254229103060762E-2</v>
      </c>
    </row>
    <row r="543" spans="1:19" x14ac:dyDescent="0.3">
      <c r="A543">
        <v>1090</v>
      </c>
      <c r="B543" s="1">
        <v>45126</v>
      </c>
      <c r="C543" s="1">
        <f>DATE(YEAR(Table1[[#This Row],[Sale_Date]]), MONTH(Table1[[#This Row],[Sale_Date]]), 1)</f>
        <v>45108</v>
      </c>
      <c r="D543" t="s">
        <v>33</v>
      </c>
      <c r="E543" t="s">
        <v>21</v>
      </c>
      <c r="F543" s="2">
        <v>656.14</v>
      </c>
      <c r="G543">
        <v>10</v>
      </c>
      <c r="H543" t="s">
        <v>16</v>
      </c>
      <c r="I543" s="2">
        <v>2387.63</v>
      </c>
      <c r="J543" s="2">
        <v>2438.9699999999998</v>
      </c>
      <c r="K543" t="s">
        <v>17</v>
      </c>
      <c r="L543" s="5">
        <v>0.02</v>
      </c>
      <c r="M543" t="s">
        <v>27</v>
      </c>
      <c r="N543" t="s">
        <v>22</v>
      </c>
      <c r="O543" t="s">
        <v>37</v>
      </c>
      <c r="P543" s="4">
        <f t="shared" si="16"/>
        <v>23901.905999999999</v>
      </c>
      <c r="Q543" s="4">
        <f t="shared" si="17"/>
        <v>25.605999999997948</v>
      </c>
      <c r="R543" t="str">
        <f>IF( Table1[[#This Row],[Total Amount after sale]] &gt; 0,"PROFIT","LOSS")</f>
        <v>PROFIT</v>
      </c>
      <c r="S543" s="3">
        <f>(Table1[[#This Row],[Total Amount after sale]]/Table1[[#This Row],[Price after discount]])</f>
        <v>1.0712953184569443E-3</v>
      </c>
    </row>
    <row r="544" spans="1:19" x14ac:dyDescent="0.3">
      <c r="A544">
        <v>1086</v>
      </c>
      <c r="B544" s="1">
        <v>45127</v>
      </c>
      <c r="C544" s="1">
        <f>DATE(YEAR(Table1[[#This Row],[Sale_Date]]), MONTH(Table1[[#This Row],[Sale_Date]]), 1)</f>
        <v>45108</v>
      </c>
      <c r="D544" t="s">
        <v>14</v>
      </c>
      <c r="E544" t="s">
        <v>15</v>
      </c>
      <c r="F544" s="2">
        <v>7075.09</v>
      </c>
      <c r="G544">
        <v>17</v>
      </c>
      <c r="H544" t="s">
        <v>26</v>
      </c>
      <c r="I544" s="2">
        <v>1057.27</v>
      </c>
      <c r="J544" s="2">
        <v>1366.62</v>
      </c>
      <c r="K544" t="s">
        <v>30</v>
      </c>
      <c r="L544" s="5">
        <v>0.21</v>
      </c>
      <c r="M544" t="s">
        <v>31</v>
      </c>
      <c r="N544" t="s">
        <v>22</v>
      </c>
      <c r="O544" t="s">
        <v>20</v>
      </c>
      <c r="P544" s="4">
        <f t="shared" si="16"/>
        <v>18353.706599999998</v>
      </c>
      <c r="Q544" s="4">
        <f t="shared" si="17"/>
        <v>380.11659999999915</v>
      </c>
      <c r="R544" t="str">
        <f>IF( Table1[[#This Row],[Total Amount after sale]] &gt; 0,"PROFIT","LOSS")</f>
        <v>PROFIT</v>
      </c>
      <c r="S544" s="3">
        <f>(Table1[[#This Row],[Total Amount after sale]]/Table1[[#This Row],[Price after discount]])</f>
        <v>2.0710617658015695E-2</v>
      </c>
    </row>
    <row r="545" spans="1:19" x14ac:dyDescent="0.3">
      <c r="A545">
        <v>1055</v>
      </c>
      <c r="B545" s="1">
        <v>45127</v>
      </c>
      <c r="C545" s="1">
        <f>DATE(YEAR(Table1[[#This Row],[Sale_Date]]), MONTH(Table1[[#This Row],[Sale_Date]]), 1)</f>
        <v>45108</v>
      </c>
      <c r="D545" t="s">
        <v>38</v>
      </c>
      <c r="E545" t="s">
        <v>21</v>
      </c>
      <c r="F545" s="2">
        <v>7354.06</v>
      </c>
      <c r="G545">
        <v>43</v>
      </c>
      <c r="H545" t="s">
        <v>16</v>
      </c>
      <c r="I545" s="2">
        <v>4111.7</v>
      </c>
      <c r="J545" s="2">
        <v>4537.9399999999996</v>
      </c>
      <c r="K545" t="s">
        <v>17</v>
      </c>
      <c r="L545" s="5">
        <v>0.13</v>
      </c>
      <c r="M545" t="s">
        <v>27</v>
      </c>
      <c r="N545" t="s">
        <v>19</v>
      </c>
      <c r="O545" t="s">
        <v>41</v>
      </c>
      <c r="P545" s="4">
        <f t="shared" si="16"/>
        <v>169764.33539999998</v>
      </c>
      <c r="Q545" s="4">
        <f t="shared" si="17"/>
        <v>-7038.7646000000177</v>
      </c>
      <c r="R545" t="str">
        <f>IF( Table1[[#This Row],[Total Amount after sale]] &gt; 0,"PROFIT","LOSS")</f>
        <v>LOSS</v>
      </c>
      <c r="S545" s="3">
        <f>(Table1[[#This Row],[Total Amount after sale]]/Table1[[#This Row],[Price after discount]])</f>
        <v>-4.1461974821833031E-2</v>
      </c>
    </row>
    <row r="546" spans="1:19" x14ac:dyDescent="0.3">
      <c r="A546">
        <v>1062</v>
      </c>
      <c r="B546" s="1">
        <v>45127</v>
      </c>
      <c r="C546" s="1">
        <f>DATE(YEAR(Table1[[#This Row],[Sale_Date]]), MONTH(Table1[[#This Row],[Sale_Date]]), 1)</f>
        <v>45108</v>
      </c>
      <c r="D546" t="s">
        <v>38</v>
      </c>
      <c r="E546" t="s">
        <v>15</v>
      </c>
      <c r="F546" s="2">
        <v>903.38</v>
      </c>
      <c r="G546">
        <v>48</v>
      </c>
      <c r="H546" t="s">
        <v>35</v>
      </c>
      <c r="I546" s="2">
        <v>1679.69</v>
      </c>
      <c r="J546" s="2">
        <v>1939.04</v>
      </c>
      <c r="K546" t="s">
        <v>30</v>
      </c>
      <c r="L546" s="5">
        <v>0.09</v>
      </c>
      <c r="M546" t="s">
        <v>31</v>
      </c>
      <c r="N546" t="s">
        <v>19</v>
      </c>
      <c r="O546" t="s">
        <v>40</v>
      </c>
      <c r="P546" s="4">
        <f t="shared" si="16"/>
        <v>84697.267200000002</v>
      </c>
      <c r="Q546" s="4">
        <f t="shared" si="17"/>
        <v>4072.1471999999958</v>
      </c>
      <c r="R546" t="str">
        <f>IF( Table1[[#This Row],[Total Amount after sale]] &gt; 0,"PROFIT","LOSS")</f>
        <v>PROFIT</v>
      </c>
      <c r="S546" s="3">
        <f>(Table1[[#This Row],[Total Amount after sale]]/Table1[[#This Row],[Price after discount]])</f>
        <v>4.8078849939564468E-2</v>
      </c>
    </row>
    <row r="547" spans="1:19" x14ac:dyDescent="0.3">
      <c r="A547">
        <v>1017</v>
      </c>
      <c r="B547" s="1">
        <v>45128</v>
      </c>
      <c r="C547" s="1">
        <f>DATE(YEAR(Table1[[#This Row],[Sale_Date]]), MONTH(Table1[[#This Row],[Sale_Date]]), 1)</f>
        <v>45108</v>
      </c>
      <c r="D547" t="s">
        <v>24</v>
      </c>
      <c r="E547" t="s">
        <v>34</v>
      </c>
      <c r="F547" s="2">
        <v>3388.69</v>
      </c>
      <c r="G547">
        <v>1</v>
      </c>
      <c r="H547" t="s">
        <v>26</v>
      </c>
      <c r="I547" s="2">
        <v>172.59</v>
      </c>
      <c r="J547" s="2">
        <v>404.69</v>
      </c>
      <c r="K547" t="s">
        <v>17</v>
      </c>
      <c r="L547" s="5">
        <v>0.28999999999999998</v>
      </c>
      <c r="M547" t="s">
        <v>27</v>
      </c>
      <c r="N547" t="s">
        <v>19</v>
      </c>
      <c r="O547" t="s">
        <v>50</v>
      </c>
      <c r="P547" s="4">
        <f t="shared" si="16"/>
        <v>287.32990000000001</v>
      </c>
      <c r="Q547" s="4">
        <f t="shared" si="17"/>
        <v>114.73990000000001</v>
      </c>
      <c r="R547" t="str">
        <f>IF( Table1[[#This Row],[Total Amount after sale]] &gt; 0,"PROFIT","LOSS")</f>
        <v>PROFIT</v>
      </c>
      <c r="S547" s="3">
        <f>(Table1[[#This Row],[Total Amount after sale]]/Table1[[#This Row],[Price after discount]])</f>
        <v>0.39933156973917439</v>
      </c>
    </row>
    <row r="548" spans="1:19" x14ac:dyDescent="0.3">
      <c r="A548">
        <v>1063</v>
      </c>
      <c r="B548" s="1">
        <v>45128</v>
      </c>
      <c r="C548" s="1">
        <f>DATE(YEAR(Table1[[#This Row],[Sale_Date]]), MONTH(Table1[[#This Row],[Sale_Date]]), 1)</f>
        <v>45108</v>
      </c>
      <c r="D548" t="s">
        <v>14</v>
      </c>
      <c r="E548" t="s">
        <v>34</v>
      </c>
      <c r="F548" s="2">
        <v>6359.59</v>
      </c>
      <c r="G548">
        <v>32</v>
      </c>
      <c r="H548" t="s">
        <v>35</v>
      </c>
      <c r="I548" s="2">
        <v>975.31</v>
      </c>
      <c r="J548" s="2">
        <v>1176.17</v>
      </c>
      <c r="K548" t="s">
        <v>30</v>
      </c>
      <c r="L548" s="5">
        <v>0.22</v>
      </c>
      <c r="M548" t="s">
        <v>27</v>
      </c>
      <c r="N548" t="s">
        <v>22</v>
      </c>
      <c r="O548" t="s">
        <v>46</v>
      </c>
      <c r="P548" s="4">
        <f t="shared" si="16"/>
        <v>29357.203200000004</v>
      </c>
      <c r="Q548" s="4">
        <f t="shared" si="17"/>
        <v>-1852.7167999999947</v>
      </c>
      <c r="R548" t="str">
        <f>IF( Table1[[#This Row],[Total Amount after sale]] &gt; 0,"PROFIT","LOSS")</f>
        <v>LOSS</v>
      </c>
      <c r="S548" s="3">
        <f>(Table1[[#This Row],[Total Amount after sale]]/Table1[[#This Row],[Price after discount]])</f>
        <v>-6.3109444976011689E-2</v>
      </c>
    </row>
    <row r="549" spans="1:19" x14ac:dyDescent="0.3">
      <c r="A549">
        <v>1066</v>
      </c>
      <c r="B549" s="1">
        <v>45128</v>
      </c>
      <c r="C549" s="1">
        <f>DATE(YEAR(Table1[[#This Row],[Sale_Date]]), MONTH(Table1[[#This Row],[Sale_Date]]), 1)</f>
        <v>45108</v>
      </c>
      <c r="D549" t="s">
        <v>33</v>
      </c>
      <c r="E549" t="s">
        <v>34</v>
      </c>
      <c r="F549" s="2">
        <v>3492.19</v>
      </c>
      <c r="G549">
        <v>4</v>
      </c>
      <c r="H549" t="s">
        <v>16</v>
      </c>
      <c r="I549" s="2">
        <v>868.83</v>
      </c>
      <c r="J549" s="2">
        <v>1177.75</v>
      </c>
      <c r="K549" t="s">
        <v>17</v>
      </c>
      <c r="L549" s="5">
        <v>0.21</v>
      </c>
      <c r="M549" t="s">
        <v>31</v>
      </c>
      <c r="N549" t="s">
        <v>22</v>
      </c>
      <c r="O549" t="s">
        <v>36</v>
      </c>
      <c r="P549" s="4">
        <f t="shared" si="16"/>
        <v>3721.69</v>
      </c>
      <c r="Q549" s="4">
        <f t="shared" si="17"/>
        <v>246.36999999999989</v>
      </c>
      <c r="R549" t="str">
        <f>IF( Table1[[#This Row],[Total Amount after sale]] &gt; 0,"PROFIT","LOSS")</f>
        <v>PROFIT</v>
      </c>
      <c r="S549" s="3">
        <f>(Table1[[#This Row],[Total Amount after sale]]/Table1[[#This Row],[Price after discount]])</f>
        <v>6.6198420609991662E-2</v>
      </c>
    </row>
    <row r="550" spans="1:19" x14ac:dyDescent="0.3">
      <c r="A550">
        <v>1023</v>
      </c>
      <c r="B550" s="1">
        <v>45128</v>
      </c>
      <c r="C550" s="1">
        <f>DATE(YEAR(Table1[[#This Row],[Sale_Date]]), MONTH(Table1[[#This Row],[Sale_Date]]), 1)</f>
        <v>45108</v>
      </c>
      <c r="D550" t="s">
        <v>38</v>
      </c>
      <c r="E550" t="s">
        <v>15</v>
      </c>
      <c r="F550" s="2">
        <v>2282.9899999999998</v>
      </c>
      <c r="G550">
        <v>4</v>
      </c>
      <c r="H550" t="s">
        <v>29</v>
      </c>
      <c r="I550" s="2">
        <v>1532.8</v>
      </c>
      <c r="J550" s="2">
        <v>1619.69</v>
      </c>
      <c r="K550" t="s">
        <v>17</v>
      </c>
      <c r="L550" s="5">
        <v>0.05</v>
      </c>
      <c r="M550" t="s">
        <v>27</v>
      </c>
      <c r="N550" t="s">
        <v>22</v>
      </c>
      <c r="O550" t="s">
        <v>40</v>
      </c>
      <c r="P550" s="4">
        <f t="shared" si="16"/>
        <v>6154.8220000000001</v>
      </c>
      <c r="Q550" s="4">
        <f t="shared" si="17"/>
        <v>23.622000000000298</v>
      </c>
      <c r="R550" t="str">
        <f>IF( Table1[[#This Row],[Total Amount after sale]] &gt; 0,"PROFIT","LOSS")</f>
        <v>PROFIT</v>
      </c>
      <c r="S550" s="3">
        <f>(Table1[[#This Row],[Total Amount after sale]]/Table1[[#This Row],[Price after discount]])</f>
        <v>3.837966394479044E-3</v>
      </c>
    </row>
    <row r="551" spans="1:19" x14ac:dyDescent="0.3">
      <c r="A551">
        <v>1039</v>
      </c>
      <c r="B551" s="1">
        <v>45129</v>
      </c>
      <c r="C551" s="1">
        <f>DATE(YEAR(Table1[[#This Row],[Sale_Date]]), MONTH(Table1[[#This Row],[Sale_Date]]), 1)</f>
        <v>45108</v>
      </c>
      <c r="D551" t="s">
        <v>42</v>
      </c>
      <c r="E551" t="s">
        <v>34</v>
      </c>
      <c r="F551" s="2">
        <v>6807.67</v>
      </c>
      <c r="G551">
        <v>42</v>
      </c>
      <c r="H551" t="s">
        <v>29</v>
      </c>
      <c r="I551" s="2">
        <v>3120.19</v>
      </c>
      <c r="J551" s="2">
        <v>3600.14</v>
      </c>
      <c r="K551" t="s">
        <v>17</v>
      </c>
      <c r="L551" s="5">
        <v>0.19</v>
      </c>
      <c r="M551" t="s">
        <v>31</v>
      </c>
      <c r="N551" t="s">
        <v>22</v>
      </c>
      <c r="O551" t="s">
        <v>52</v>
      </c>
      <c r="P551" s="4">
        <f t="shared" si="16"/>
        <v>122476.76280000001</v>
      </c>
      <c r="Q551" s="4">
        <f t="shared" si="17"/>
        <v>-8571.2171999999955</v>
      </c>
      <c r="R551" t="str">
        <f>IF( Table1[[#This Row],[Total Amount after sale]] &gt; 0,"PROFIT","LOSS")</f>
        <v>LOSS</v>
      </c>
      <c r="S551" s="3">
        <f>(Table1[[#This Row],[Total Amount after sale]]/Table1[[#This Row],[Price after discount]])</f>
        <v>-6.9982395060493835E-2</v>
      </c>
    </row>
    <row r="552" spans="1:19" x14ac:dyDescent="0.3">
      <c r="A552">
        <v>1056</v>
      </c>
      <c r="B552" s="1">
        <v>45130</v>
      </c>
      <c r="C552" s="1">
        <f>DATE(YEAR(Table1[[#This Row],[Sale_Date]]), MONTH(Table1[[#This Row],[Sale_Date]]), 1)</f>
        <v>45108</v>
      </c>
      <c r="D552" t="s">
        <v>14</v>
      </c>
      <c r="E552" t="s">
        <v>21</v>
      </c>
      <c r="F552" s="2">
        <v>7591.63</v>
      </c>
      <c r="G552">
        <v>35</v>
      </c>
      <c r="H552" t="s">
        <v>16</v>
      </c>
      <c r="I552" s="2">
        <v>2344.9299999999998</v>
      </c>
      <c r="J552" s="2">
        <v>2707.25</v>
      </c>
      <c r="K552" t="s">
        <v>30</v>
      </c>
      <c r="L552" s="5">
        <v>0.12</v>
      </c>
      <c r="M552" t="s">
        <v>31</v>
      </c>
      <c r="N552" t="s">
        <v>22</v>
      </c>
      <c r="O552" t="s">
        <v>23</v>
      </c>
      <c r="P552" s="4">
        <f t="shared" si="16"/>
        <v>83383.3</v>
      </c>
      <c r="Q552" s="4">
        <f t="shared" si="17"/>
        <v>1310.7500000000095</v>
      </c>
      <c r="R552" t="str">
        <f>IF( Table1[[#This Row],[Total Amount after sale]] &gt; 0,"PROFIT","LOSS")</f>
        <v>PROFIT</v>
      </c>
      <c r="S552" s="3">
        <f>(Table1[[#This Row],[Total Amount after sale]]/Table1[[#This Row],[Price after discount]])</f>
        <v>1.5719574543104069E-2</v>
      </c>
    </row>
    <row r="553" spans="1:19" x14ac:dyDescent="0.3">
      <c r="A553">
        <v>1042</v>
      </c>
      <c r="B553" s="1">
        <v>45130</v>
      </c>
      <c r="C553" s="1">
        <f>DATE(YEAR(Table1[[#This Row],[Sale_Date]]), MONTH(Table1[[#This Row],[Sale_Date]]), 1)</f>
        <v>45108</v>
      </c>
      <c r="D553" t="s">
        <v>33</v>
      </c>
      <c r="E553" t="s">
        <v>21</v>
      </c>
      <c r="F553" s="2">
        <v>8417.07</v>
      </c>
      <c r="G553">
        <v>26</v>
      </c>
      <c r="H553" t="s">
        <v>35</v>
      </c>
      <c r="I553" s="2">
        <v>4208.09</v>
      </c>
      <c r="J553" s="2">
        <v>4226.5600000000004</v>
      </c>
      <c r="K553" t="s">
        <v>17</v>
      </c>
      <c r="L553" s="5">
        <v>0.28999999999999998</v>
      </c>
      <c r="M553" t="s">
        <v>18</v>
      </c>
      <c r="N553" t="s">
        <v>22</v>
      </c>
      <c r="O553" t="s">
        <v>37</v>
      </c>
      <c r="P553" s="4">
        <f t="shared" si="16"/>
        <v>78022.297600000005</v>
      </c>
      <c r="Q553" s="4">
        <f t="shared" si="17"/>
        <v>-31388.042399999998</v>
      </c>
      <c r="R553" t="str">
        <f>IF( Table1[[#This Row],[Total Amount after sale]] &gt; 0,"PROFIT","LOSS")</f>
        <v>LOSS</v>
      </c>
      <c r="S553" s="3">
        <f>(Table1[[#This Row],[Total Amount after sale]]/Table1[[#This Row],[Price after discount]])</f>
        <v>-0.40229579704148571</v>
      </c>
    </row>
    <row r="554" spans="1:19" x14ac:dyDescent="0.3">
      <c r="A554">
        <v>1098</v>
      </c>
      <c r="B554" s="1">
        <v>45131</v>
      </c>
      <c r="C554" s="1">
        <f>DATE(YEAR(Table1[[#This Row],[Sale_Date]]), MONTH(Table1[[#This Row],[Sale_Date]]), 1)</f>
        <v>45108</v>
      </c>
      <c r="D554" t="s">
        <v>42</v>
      </c>
      <c r="E554" t="s">
        <v>25</v>
      </c>
      <c r="F554" s="2">
        <v>8188.04</v>
      </c>
      <c r="G554">
        <v>19</v>
      </c>
      <c r="H554" t="s">
        <v>35</v>
      </c>
      <c r="I554" s="2">
        <v>4055.51</v>
      </c>
      <c r="J554" s="2">
        <v>4258.84</v>
      </c>
      <c r="K554" t="s">
        <v>17</v>
      </c>
      <c r="L554" s="5">
        <v>0.03</v>
      </c>
      <c r="M554" t="s">
        <v>31</v>
      </c>
      <c r="N554" t="s">
        <v>19</v>
      </c>
      <c r="O554" t="s">
        <v>43</v>
      </c>
      <c r="P554" s="4">
        <f t="shared" si="16"/>
        <v>78490.421200000012</v>
      </c>
      <c r="Q554" s="4">
        <f t="shared" si="17"/>
        <v>1435.731200000002</v>
      </c>
      <c r="R554" t="str">
        <f>IF( Table1[[#This Row],[Total Amount after sale]] &gt; 0,"PROFIT","LOSS")</f>
        <v>PROFIT</v>
      </c>
      <c r="S554" s="3">
        <f>(Table1[[#This Row],[Total Amount after sale]]/Table1[[#This Row],[Price after discount]])</f>
        <v>1.8291801445957864E-2</v>
      </c>
    </row>
    <row r="555" spans="1:19" x14ac:dyDescent="0.3">
      <c r="A555">
        <v>1003</v>
      </c>
      <c r="B555" s="1">
        <v>45132</v>
      </c>
      <c r="C555" s="1">
        <f>DATE(YEAR(Table1[[#This Row],[Sale_Date]]), MONTH(Table1[[#This Row],[Sale_Date]]), 1)</f>
        <v>45108</v>
      </c>
      <c r="D555" t="s">
        <v>38</v>
      </c>
      <c r="E555" t="s">
        <v>21</v>
      </c>
      <c r="F555" s="2">
        <v>5617.64</v>
      </c>
      <c r="G555">
        <v>5</v>
      </c>
      <c r="H555" t="s">
        <v>26</v>
      </c>
      <c r="I555" s="2">
        <v>2206.58</v>
      </c>
      <c r="J555" s="2">
        <v>2490.4699999999998</v>
      </c>
      <c r="K555" t="s">
        <v>30</v>
      </c>
      <c r="L555" s="5">
        <v>0.28000000000000003</v>
      </c>
      <c r="M555" t="s">
        <v>18</v>
      </c>
      <c r="N555" t="s">
        <v>19</v>
      </c>
      <c r="O555" t="s">
        <v>41</v>
      </c>
      <c r="P555" s="4">
        <f t="shared" si="16"/>
        <v>8965.6919999999991</v>
      </c>
      <c r="Q555" s="4">
        <f t="shared" si="17"/>
        <v>-2067.2080000000005</v>
      </c>
      <c r="R555" t="str">
        <f>IF( Table1[[#This Row],[Total Amount after sale]] &gt; 0,"PROFIT","LOSS")</f>
        <v>LOSS</v>
      </c>
      <c r="S555" s="3">
        <f>(Table1[[#This Row],[Total Amount after sale]]/Table1[[#This Row],[Price after discount]])</f>
        <v>-0.23056870568384469</v>
      </c>
    </row>
    <row r="556" spans="1:19" x14ac:dyDescent="0.3">
      <c r="A556">
        <v>1047</v>
      </c>
      <c r="B556" s="1">
        <v>45132</v>
      </c>
      <c r="C556" s="1">
        <f>DATE(YEAR(Table1[[#This Row],[Sale_Date]]), MONTH(Table1[[#This Row],[Sale_Date]]), 1)</f>
        <v>45108</v>
      </c>
      <c r="D556" t="s">
        <v>33</v>
      </c>
      <c r="E556" t="s">
        <v>34</v>
      </c>
      <c r="F556" s="2">
        <v>2936.54</v>
      </c>
      <c r="G556">
        <v>19</v>
      </c>
      <c r="H556" t="s">
        <v>16</v>
      </c>
      <c r="I556" s="2">
        <v>3484.62</v>
      </c>
      <c r="J556" s="2">
        <v>3781.5499999999902</v>
      </c>
      <c r="K556" t="s">
        <v>17</v>
      </c>
      <c r="L556" s="5">
        <v>0.21</v>
      </c>
      <c r="M556" t="s">
        <v>31</v>
      </c>
      <c r="N556" t="s">
        <v>22</v>
      </c>
      <c r="O556" t="s">
        <v>36</v>
      </c>
      <c r="P556" s="4">
        <f t="shared" si="16"/>
        <v>56761.065499999851</v>
      </c>
      <c r="Q556" s="4">
        <f t="shared" si="17"/>
        <v>-9446.7145000001437</v>
      </c>
      <c r="R556" t="str">
        <f>IF( Table1[[#This Row],[Total Amount after sale]] &gt; 0,"PROFIT","LOSS")</f>
        <v>LOSS</v>
      </c>
      <c r="S556" s="3">
        <f>(Table1[[#This Row],[Total Amount after sale]]/Table1[[#This Row],[Price after discount]])</f>
        <v>-0.16642947796672647</v>
      </c>
    </row>
    <row r="557" spans="1:19" x14ac:dyDescent="0.3">
      <c r="A557">
        <v>1015</v>
      </c>
      <c r="B557" s="1">
        <v>45133</v>
      </c>
      <c r="C557" s="1">
        <f>DATE(YEAR(Table1[[#This Row],[Sale_Date]]), MONTH(Table1[[#This Row],[Sale_Date]]), 1)</f>
        <v>45108</v>
      </c>
      <c r="D557" t="s">
        <v>24</v>
      </c>
      <c r="E557" t="s">
        <v>15</v>
      </c>
      <c r="F557" s="2">
        <v>2706.15</v>
      </c>
      <c r="G557">
        <v>9</v>
      </c>
      <c r="H557" t="s">
        <v>35</v>
      </c>
      <c r="I557" s="2">
        <v>4680.3500000000004</v>
      </c>
      <c r="J557" s="2">
        <v>4758.1099999999997</v>
      </c>
      <c r="K557" t="s">
        <v>17</v>
      </c>
      <c r="L557" s="5">
        <v>0.05</v>
      </c>
      <c r="M557" t="s">
        <v>27</v>
      </c>
      <c r="N557" t="s">
        <v>19</v>
      </c>
      <c r="O557" t="s">
        <v>45</v>
      </c>
      <c r="P557" s="4">
        <f t="shared" si="16"/>
        <v>40681.840499999998</v>
      </c>
      <c r="Q557" s="4">
        <f t="shared" si="17"/>
        <v>-1441.3095000000048</v>
      </c>
      <c r="R557" t="str">
        <f>IF( Table1[[#This Row],[Total Amount after sale]] &gt; 0,"PROFIT","LOSS")</f>
        <v>LOSS</v>
      </c>
      <c r="S557" s="3">
        <f>(Table1[[#This Row],[Total Amount after sale]]/Table1[[#This Row],[Price after discount]])</f>
        <v>-3.5428817435140501E-2</v>
      </c>
    </row>
    <row r="558" spans="1:19" x14ac:dyDescent="0.3">
      <c r="A558">
        <v>1062</v>
      </c>
      <c r="B558" s="1">
        <v>45134</v>
      </c>
      <c r="C558" s="1">
        <f>DATE(YEAR(Table1[[#This Row],[Sale_Date]]), MONTH(Table1[[#This Row],[Sale_Date]]), 1)</f>
        <v>45108</v>
      </c>
      <c r="D558" t="s">
        <v>24</v>
      </c>
      <c r="E558" t="s">
        <v>25</v>
      </c>
      <c r="F558" s="2">
        <v>4078.68</v>
      </c>
      <c r="G558">
        <v>44</v>
      </c>
      <c r="H558" t="s">
        <v>35</v>
      </c>
      <c r="I558" s="2">
        <v>987.74</v>
      </c>
      <c r="J558" s="2">
        <v>1462.19</v>
      </c>
      <c r="K558" t="s">
        <v>30</v>
      </c>
      <c r="L558" s="5">
        <v>0.24</v>
      </c>
      <c r="M558" t="s">
        <v>27</v>
      </c>
      <c r="N558" t="s">
        <v>19</v>
      </c>
      <c r="O558" t="s">
        <v>28</v>
      </c>
      <c r="P558" s="4">
        <f t="shared" si="16"/>
        <v>48895.633600000001</v>
      </c>
      <c r="Q558" s="4">
        <f t="shared" si="17"/>
        <v>5435.0736000000006</v>
      </c>
      <c r="R558" t="str">
        <f>IF( Table1[[#This Row],[Total Amount after sale]] &gt; 0,"PROFIT","LOSS")</f>
        <v>PROFIT</v>
      </c>
      <c r="S558" s="3">
        <f>(Table1[[#This Row],[Total Amount after sale]]/Table1[[#This Row],[Price after discount]])</f>
        <v>0.11115662483203818</v>
      </c>
    </row>
    <row r="559" spans="1:19" x14ac:dyDescent="0.3">
      <c r="A559">
        <v>1078</v>
      </c>
      <c r="B559" s="1">
        <v>45134</v>
      </c>
      <c r="C559" s="1">
        <f>DATE(YEAR(Table1[[#This Row],[Sale_Date]]), MONTH(Table1[[#This Row],[Sale_Date]]), 1)</f>
        <v>45108</v>
      </c>
      <c r="D559" t="s">
        <v>38</v>
      </c>
      <c r="E559" t="s">
        <v>15</v>
      </c>
      <c r="F559" s="2">
        <v>4127.37</v>
      </c>
      <c r="G559">
        <v>3</v>
      </c>
      <c r="H559" t="s">
        <v>29</v>
      </c>
      <c r="I559" s="2">
        <v>902.38</v>
      </c>
      <c r="J559" s="2">
        <v>1128.9100000000001</v>
      </c>
      <c r="K559" t="s">
        <v>30</v>
      </c>
      <c r="L559" s="5">
        <v>0.01</v>
      </c>
      <c r="M559" t="s">
        <v>27</v>
      </c>
      <c r="N559" t="s">
        <v>22</v>
      </c>
      <c r="O559" t="s">
        <v>40</v>
      </c>
      <c r="P559" s="4">
        <f t="shared" si="16"/>
        <v>3352.8627000000006</v>
      </c>
      <c r="Q559" s="4">
        <f t="shared" si="17"/>
        <v>645.72270000000037</v>
      </c>
      <c r="R559" t="str">
        <f>IF( Table1[[#This Row],[Total Amount after sale]] &gt; 0,"PROFIT","LOSS")</f>
        <v>PROFIT</v>
      </c>
      <c r="S559" s="3">
        <f>(Table1[[#This Row],[Total Amount after sale]]/Table1[[#This Row],[Price after discount]])</f>
        <v>0.19258847074173371</v>
      </c>
    </row>
    <row r="560" spans="1:19" x14ac:dyDescent="0.3">
      <c r="A560">
        <v>1025</v>
      </c>
      <c r="B560" s="1">
        <v>45135</v>
      </c>
      <c r="C560" s="1">
        <f>DATE(YEAR(Table1[[#This Row],[Sale_Date]]), MONTH(Table1[[#This Row],[Sale_Date]]), 1)</f>
        <v>45108</v>
      </c>
      <c r="D560" t="s">
        <v>24</v>
      </c>
      <c r="E560" t="s">
        <v>21</v>
      </c>
      <c r="F560" s="2">
        <v>4376.99</v>
      </c>
      <c r="G560">
        <v>37</v>
      </c>
      <c r="H560" t="s">
        <v>35</v>
      </c>
      <c r="I560" s="2">
        <v>1115.02</v>
      </c>
      <c r="J560" s="2">
        <v>1174.48</v>
      </c>
      <c r="K560" t="s">
        <v>30</v>
      </c>
      <c r="L560" s="5">
        <v>0.22</v>
      </c>
      <c r="M560" t="s">
        <v>31</v>
      </c>
      <c r="N560" t="s">
        <v>19</v>
      </c>
      <c r="O560" t="s">
        <v>47</v>
      </c>
      <c r="P560" s="4">
        <f t="shared" si="16"/>
        <v>33895.4928</v>
      </c>
      <c r="Q560" s="4">
        <f t="shared" si="17"/>
        <v>-7360.2471999999971</v>
      </c>
      <c r="R560" t="str">
        <f>IF( Table1[[#This Row],[Total Amount after sale]] &gt; 0,"PROFIT","LOSS")</f>
        <v>LOSS</v>
      </c>
      <c r="S560" s="3">
        <f>(Table1[[#This Row],[Total Amount after sale]]/Table1[[#This Row],[Price after discount]])</f>
        <v>-0.21714530729584192</v>
      </c>
    </row>
    <row r="561" spans="1:19" x14ac:dyDescent="0.3">
      <c r="A561">
        <v>1054</v>
      </c>
      <c r="B561" s="1">
        <v>45135</v>
      </c>
      <c r="C561" s="1">
        <f>DATE(YEAR(Table1[[#This Row],[Sale_Date]]), MONTH(Table1[[#This Row],[Sale_Date]]), 1)</f>
        <v>45108</v>
      </c>
      <c r="D561" t="s">
        <v>24</v>
      </c>
      <c r="E561" t="s">
        <v>34</v>
      </c>
      <c r="F561" s="2">
        <v>768.28</v>
      </c>
      <c r="G561">
        <v>20</v>
      </c>
      <c r="H561" t="s">
        <v>29</v>
      </c>
      <c r="I561" s="2">
        <v>4622.1400000000003</v>
      </c>
      <c r="J561" s="2">
        <v>5122.07</v>
      </c>
      <c r="K561" t="s">
        <v>30</v>
      </c>
      <c r="L561" s="5">
        <v>0.26</v>
      </c>
      <c r="M561" t="s">
        <v>18</v>
      </c>
      <c r="N561" t="s">
        <v>22</v>
      </c>
      <c r="O561" t="s">
        <v>50</v>
      </c>
      <c r="P561" s="4">
        <f t="shared" si="16"/>
        <v>75806.635999999999</v>
      </c>
      <c r="Q561" s="4">
        <f t="shared" si="17"/>
        <v>-16636.164000000008</v>
      </c>
      <c r="R561" t="str">
        <f>IF( Table1[[#This Row],[Total Amount after sale]] &gt; 0,"PROFIT","LOSS")</f>
        <v>LOSS</v>
      </c>
      <c r="S561" s="3">
        <f>(Table1[[#This Row],[Total Amount after sale]]/Table1[[#This Row],[Price after discount]])</f>
        <v>-0.21945524663566404</v>
      </c>
    </row>
    <row r="562" spans="1:19" x14ac:dyDescent="0.3">
      <c r="A562">
        <v>1082</v>
      </c>
      <c r="B562" s="1">
        <v>45135</v>
      </c>
      <c r="C562" s="1">
        <f>DATE(YEAR(Table1[[#This Row],[Sale_Date]]), MONTH(Table1[[#This Row],[Sale_Date]]), 1)</f>
        <v>45108</v>
      </c>
      <c r="D562" t="s">
        <v>42</v>
      </c>
      <c r="E562" t="s">
        <v>34</v>
      </c>
      <c r="F562" s="2">
        <v>8540.2199999999993</v>
      </c>
      <c r="G562">
        <v>48</v>
      </c>
      <c r="H562" t="s">
        <v>26</v>
      </c>
      <c r="I562" s="2">
        <v>3380.52</v>
      </c>
      <c r="J562" s="2">
        <v>3778.94</v>
      </c>
      <c r="K562" t="s">
        <v>17</v>
      </c>
      <c r="L562" s="5">
        <v>0.3</v>
      </c>
      <c r="M562" t="s">
        <v>27</v>
      </c>
      <c r="N562" t="s">
        <v>19</v>
      </c>
      <c r="O562" t="s">
        <v>52</v>
      </c>
      <c r="P562" s="4">
        <f t="shared" si="16"/>
        <v>126972.38399999999</v>
      </c>
      <c r="Q562" s="4">
        <f t="shared" si="17"/>
        <v>-35292.576000000008</v>
      </c>
      <c r="R562" t="str">
        <f>IF( Table1[[#This Row],[Total Amount after sale]] &gt; 0,"PROFIT","LOSS")</f>
        <v>LOSS</v>
      </c>
      <c r="S562" s="3">
        <f>(Table1[[#This Row],[Total Amount after sale]]/Table1[[#This Row],[Price after discount]])</f>
        <v>-0.27795474014254951</v>
      </c>
    </row>
    <row r="563" spans="1:19" x14ac:dyDescent="0.3">
      <c r="A563">
        <v>1096</v>
      </c>
      <c r="B563" s="1">
        <v>45136</v>
      </c>
      <c r="C563" s="1">
        <f>DATE(YEAR(Table1[[#This Row],[Sale_Date]]), MONTH(Table1[[#This Row],[Sale_Date]]), 1)</f>
        <v>45108</v>
      </c>
      <c r="D563" t="s">
        <v>33</v>
      </c>
      <c r="E563" t="s">
        <v>21</v>
      </c>
      <c r="F563" s="2">
        <v>485.41</v>
      </c>
      <c r="G563">
        <v>38</v>
      </c>
      <c r="H563" t="s">
        <v>35</v>
      </c>
      <c r="I563" s="2">
        <v>3955.66</v>
      </c>
      <c r="J563" s="2">
        <v>4270.59</v>
      </c>
      <c r="K563" t="s">
        <v>17</v>
      </c>
      <c r="L563" s="5">
        <v>0.15</v>
      </c>
      <c r="M563" t="s">
        <v>31</v>
      </c>
      <c r="N563" t="s">
        <v>19</v>
      </c>
      <c r="O563" t="s">
        <v>37</v>
      </c>
      <c r="P563" s="4">
        <f t="shared" si="16"/>
        <v>137940.057</v>
      </c>
      <c r="Q563" s="4">
        <f t="shared" si="17"/>
        <v>-12375.023000000001</v>
      </c>
      <c r="R563" t="str">
        <f>IF( Table1[[#This Row],[Total Amount after sale]] &gt; 0,"PROFIT","LOSS")</f>
        <v>LOSS</v>
      </c>
      <c r="S563" s="3">
        <f>(Table1[[#This Row],[Total Amount after sale]]/Table1[[#This Row],[Price after discount]])</f>
        <v>-8.9713048327941469E-2</v>
      </c>
    </row>
    <row r="564" spans="1:19" x14ac:dyDescent="0.3">
      <c r="A564">
        <v>1059</v>
      </c>
      <c r="B564" s="1">
        <v>45136</v>
      </c>
      <c r="C564" s="1">
        <f>DATE(YEAR(Table1[[#This Row],[Sale_Date]]), MONTH(Table1[[#This Row],[Sale_Date]]), 1)</f>
        <v>45108</v>
      </c>
      <c r="D564" t="s">
        <v>14</v>
      </c>
      <c r="E564" t="s">
        <v>25</v>
      </c>
      <c r="F564" s="2">
        <v>7678.91</v>
      </c>
      <c r="G564">
        <v>16</v>
      </c>
      <c r="H564" t="s">
        <v>16</v>
      </c>
      <c r="I564" s="2">
        <v>4287.21</v>
      </c>
      <c r="J564" s="2">
        <v>4464.28</v>
      </c>
      <c r="K564" t="s">
        <v>17</v>
      </c>
      <c r="L564" s="5">
        <v>0.2</v>
      </c>
      <c r="M564" t="s">
        <v>31</v>
      </c>
      <c r="N564" t="s">
        <v>22</v>
      </c>
      <c r="O564" t="s">
        <v>32</v>
      </c>
      <c r="P564" s="4">
        <f t="shared" si="16"/>
        <v>57142.784</v>
      </c>
      <c r="Q564" s="4">
        <f t="shared" si="17"/>
        <v>-11452.576000000001</v>
      </c>
      <c r="R564" t="str">
        <f>IF( Table1[[#This Row],[Total Amount after sale]] &gt; 0,"PROFIT","LOSS")</f>
        <v>LOSS</v>
      </c>
      <c r="S564" s="3">
        <f>(Table1[[#This Row],[Total Amount after sale]]/Table1[[#This Row],[Price after discount]])</f>
        <v>-0.20042033653803079</v>
      </c>
    </row>
    <row r="565" spans="1:19" x14ac:dyDescent="0.3">
      <c r="A565">
        <v>1044</v>
      </c>
      <c r="B565" s="1">
        <v>45136</v>
      </c>
      <c r="C565" s="1">
        <f>DATE(YEAR(Table1[[#This Row],[Sale_Date]]), MONTH(Table1[[#This Row],[Sale_Date]]), 1)</f>
        <v>45108</v>
      </c>
      <c r="D565" t="s">
        <v>42</v>
      </c>
      <c r="E565" t="s">
        <v>15</v>
      </c>
      <c r="F565" s="2">
        <v>6144.41</v>
      </c>
      <c r="G565">
        <v>47</v>
      </c>
      <c r="H565" t="s">
        <v>35</v>
      </c>
      <c r="I565" s="2">
        <v>1512.34</v>
      </c>
      <c r="J565" s="2">
        <v>1830.76</v>
      </c>
      <c r="K565" t="s">
        <v>30</v>
      </c>
      <c r="L565" s="5">
        <v>0.12</v>
      </c>
      <c r="M565" t="s">
        <v>27</v>
      </c>
      <c r="N565" t="s">
        <v>19</v>
      </c>
      <c r="O565" t="s">
        <v>49</v>
      </c>
      <c r="P565" s="4">
        <f t="shared" si="16"/>
        <v>75720.233600000007</v>
      </c>
      <c r="Q565" s="4">
        <f t="shared" si="17"/>
        <v>4640.2536000000046</v>
      </c>
      <c r="R565" t="str">
        <f>IF( Table1[[#This Row],[Total Amount after sale]] &gt; 0,"PROFIT","LOSS")</f>
        <v>PROFIT</v>
      </c>
      <c r="S565" s="3">
        <f>(Table1[[#This Row],[Total Amount after sale]]/Table1[[#This Row],[Price after discount]])</f>
        <v>6.1281554207989183E-2</v>
      </c>
    </row>
    <row r="566" spans="1:19" x14ac:dyDescent="0.3">
      <c r="A566">
        <v>1082</v>
      </c>
      <c r="B566" s="1">
        <v>45136</v>
      </c>
      <c r="C566" s="1">
        <f>DATE(YEAR(Table1[[#This Row],[Sale_Date]]), MONTH(Table1[[#This Row],[Sale_Date]]), 1)</f>
        <v>45108</v>
      </c>
      <c r="D566" t="s">
        <v>38</v>
      </c>
      <c r="E566" t="s">
        <v>34</v>
      </c>
      <c r="F566" s="2">
        <v>5677.61</v>
      </c>
      <c r="G566">
        <v>46</v>
      </c>
      <c r="H566" t="s">
        <v>26</v>
      </c>
      <c r="I566" s="2">
        <v>1102.69</v>
      </c>
      <c r="J566" s="2">
        <v>1437.12</v>
      </c>
      <c r="K566" t="s">
        <v>30</v>
      </c>
      <c r="L566" s="5">
        <v>0.11</v>
      </c>
      <c r="M566" t="s">
        <v>31</v>
      </c>
      <c r="N566" t="s">
        <v>19</v>
      </c>
      <c r="O566" t="s">
        <v>48</v>
      </c>
      <c r="P566" s="4">
        <f t="shared" si="16"/>
        <v>58835.69279999999</v>
      </c>
      <c r="Q566" s="4">
        <f t="shared" si="17"/>
        <v>8111.9527999999909</v>
      </c>
      <c r="R566" t="str">
        <f>IF( Table1[[#This Row],[Total Amount after sale]] &gt; 0,"PROFIT","LOSS")</f>
        <v>PROFIT</v>
      </c>
      <c r="S566" s="3">
        <f>(Table1[[#This Row],[Total Amount after sale]]/Table1[[#This Row],[Price after discount]])</f>
        <v>0.13787468820287252</v>
      </c>
    </row>
    <row r="567" spans="1:19" x14ac:dyDescent="0.3">
      <c r="A567">
        <v>1048</v>
      </c>
      <c r="B567" s="1">
        <v>45137</v>
      </c>
      <c r="C567" s="1">
        <f>DATE(YEAR(Table1[[#This Row],[Sale_Date]]), MONTH(Table1[[#This Row],[Sale_Date]]), 1)</f>
        <v>45108</v>
      </c>
      <c r="D567" t="s">
        <v>42</v>
      </c>
      <c r="E567" t="s">
        <v>15</v>
      </c>
      <c r="F567" s="2">
        <v>9527</v>
      </c>
      <c r="G567">
        <v>6</v>
      </c>
      <c r="H567" t="s">
        <v>16</v>
      </c>
      <c r="I567" s="2">
        <v>1945.27</v>
      </c>
      <c r="J567" s="2">
        <v>2309.4299999999998</v>
      </c>
      <c r="K567" t="s">
        <v>30</v>
      </c>
      <c r="L567" s="5">
        <v>0.26</v>
      </c>
      <c r="M567" t="s">
        <v>31</v>
      </c>
      <c r="N567" t="s">
        <v>19</v>
      </c>
      <c r="O567" t="s">
        <v>49</v>
      </c>
      <c r="P567" s="4">
        <f t="shared" si="16"/>
        <v>10253.869199999999</v>
      </c>
      <c r="Q567" s="4">
        <f t="shared" si="17"/>
        <v>-1417.7508000000012</v>
      </c>
      <c r="R567" t="str">
        <f>IF( Table1[[#This Row],[Total Amount after sale]] &gt; 0,"PROFIT","LOSS")</f>
        <v>LOSS</v>
      </c>
      <c r="S567" s="3">
        <f>(Table1[[#This Row],[Total Amount after sale]]/Table1[[#This Row],[Price after discount]])</f>
        <v>-0.13826495855827781</v>
      </c>
    </row>
    <row r="568" spans="1:19" x14ac:dyDescent="0.3">
      <c r="A568">
        <v>1088</v>
      </c>
      <c r="B568" s="1">
        <v>45137</v>
      </c>
      <c r="C568" s="1">
        <f>DATE(YEAR(Table1[[#This Row],[Sale_Date]]), MONTH(Table1[[#This Row],[Sale_Date]]), 1)</f>
        <v>45108</v>
      </c>
      <c r="D568" t="s">
        <v>38</v>
      </c>
      <c r="E568" t="s">
        <v>34</v>
      </c>
      <c r="F568" s="2">
        <v>7997.55</v>
      </c>
      <c r="G568">
        <v>1</v>
      </c>
      <c r="H568" t="s">
        <v>16</v>
      </c>
      <c r="I568" s="2">
        <v>4384.6400000000003</v>
      </c>
      <c r="J568" s="2">
        <v>4693.8999999999996</v>
      </c>
      <c r="K568" t="s">
        <v>30</v>
      </c>
      <c r="L568" s="5">
        <v>0.14000000000000001</v>
      </c>
      <c r="M568" t="s">
        <v>18</v>
      </c>
      <c r="N568" t="s">
        <v>22</v>
      </c>
      <c r="O568" t="s">
        <v>48</v>
      </c>
      <c r="P568" s="4">
        <f t="shared" si="16"/>
        <v>4036.7539999999995</v>
      </c>
      <c r="Q568" s="4">
        <f t="shared" si="17"/>
        <v>-347.88600000000088</v>
      </c>
      <c r="R568" t="str">
        <f>IF( Table1[[#This Row],[Total Amount after sale]] &gt; 0,"PROFIT","LOSS")</f>
        <v>LOSS</v>
      </c>
      <c r="S568" s="3">
        <f>(Table1[[#This Row],[Total Amount after sale]]/Table1[[#This Row],[Price after discount]])</f>
        <v>-8.6179638392629557E-2</v>
      </c>
    </row>
    <row r="569" spans="1:19" x14ac:dyDescent="0.3">
      <c r="A569">
        <v>1002</v>
      </c>
      <c r="B569" s="1">
        <v>45138</v>
      </c>
      <c r="C569" s="1">
        <f>DATE(YEAR(Table1[[#This Row],[Sale_Date]]), MONTH(Table1[[#This Row],[Sale_Date]]), 1)</f>
        <v>45108</v>
      </c>
      <c r="D569" t="s">
        <v>24</v>
      </c>
      <c r="E569" t="s">
        <v>34</v>
      </c>
      <c r="F569" s="2">
        <v>8090.84</v>
      </c>
      <c r="G569">
        <v>21</v>
      </c>
      <c r="H569" t="s">
        <v>29</v>
      </c>
      <c r="I569" s="2">
        <v>4138.41</v>
      </c>
      <c r="J569" s="2">
        <v>4361.7</v>
      </c>
      <c r="K569" t="s">
        <v>17</v>
      </c>
      <c r="L569" s="5">
        <v>7.0000000000000007E-2</v>
      </c>
      <c r="M569" t="s">
        <v>31</v>
      </c>
      <c r="N569" t="s">
        <v>22</v>
      </c>
      <c r="O569" t="s">
        <v>50</v>
      </c>
      <c r="P569" s="4">
        <f t="shared" si="16"/>
        <v>85184.000999999989</v>
      </c>
      <c r="Q569" s="4">
        <f t="shared" si="17"/>
        <v>-1722.6090000000095</v>
      </c>
      <c r="R569" t="str">
        <f>IF( Table1[[#This Row],[Total Amount after sale]] &gt; 0,"PROFIT","LOSS")</f>
        <v>LOSS</v>
      </c>
      <c r="S569" s="3">
        <f>(Table1[[#This Row],[Total Amount after sale]]/Table1[[#This Row],[Price after discount]])</f>
        <v>-2.0222212854266022E-2</v>
      </c>
    </row>
    <row r="570" spans="1:19" x14ac:dyDescent="0.3">
      <c r="A570">
        <v>1063</v>
      </c>
      <c r="B570" s="1">
        <v>45139</v>
      </c>
      <c r="C570" s="1">
        <f>DATE(YEAR(Table1[[#This Row],[Sale_Date]]), MONTH(Table1[[#This Row],[Sale_Date]]), 1)</f>
        <v>45139</v>
      </c>
      <c r="D570" t="s">
        <v>14</v>
      </c>
      <c r="E570" t="s">
        <v>25</v>
      </c>
      <c r="F570" s="2">
        <v>6346.13</v>
      </c>
      <c r="G570">
        <v>4</v>
      </c>
      <c r="H570" t="s">
        <v>35</v>
      </c>
      <c r="I570" s="2">
        <v>1046.26</v>
      </c>
      <c r="J570" s="2">
        <v>1475.29</v>
      </c>
      <c r="K570" t="s">
        <v>17</v>
      </c>
      <c r="L570" s="5">
        <v>0.09</v>
      </c>
      <c r="M570" t="s">
        <v>27</v>
      </c>
      <c r="N570" t="s">
        <v>22</v>
      </c>
      <c r="O570" t="s">
        <v>32</v>
      </c>
      <c r="P570" s="4">
        <f t="shared" si="16"/>
        <v>5370.0555999999997</v>
      </c>
      <c r="Q570" s="4">
        <f t="shared" si="17"/>
        <v>1185.0155999999997</v>
      </c>
      <c r="R570" t="str">
        <f>IF( Table1[[#This Row],[Total Amount after sale]] &gt; 0,"PROFIT","LOSS")</f>
        <v>PROFIT</v>
      </c>
      <c r="S570" s="3">
        <f>(Table1[[#This Row],[Total Amount after sale]]/Table1[[#This Row],[Price after discount]])</f>
        <v>0.22067101130200584</v>
      </c>
    </row>
    <row r="571" spans="1:19" x14ac:dyDescent="0.3">
      <c r="A571">
        <v>1039</v>
      </c>
      <c r="B571" s="1">
        <v>45139</v>
      </c>
      <c r="C571" s="1">
        <f>DATE(YEAR(Table1[[#This Row],[Sale_Date]]), MONTH(Table1[[#This Row],[Sale_Date]]), 1)</f>
        <v>45139</v>
      </c>
      <c r="D571" t="s">
        <v>38</v>
      </c>
      <c r="E571" t="s">
        <v>21</v>
      </c>
      <c r="F571" s="2">
        <v>7527.63</v>
      </c>
      <c r="G571">
        <v>36</v>
      </c>
      <c r="H571" t="s">
        <v>29</v>
      </c>
      <c r="I571" s="2">
        <v>2919</v>
      </c>
      <c r="J571" s="2">
        <v>3125.01</v>
      </c>
      <c r="K571" t="s">
        <v>30</v>
      </c>
      <c r="L571" s="5">
        <v>0.24</v>
      </c>
      <c r="M571" t="s">
        <v>18</v>
      </c>
      <c r="N571" t="s">
        <v>19</v>
      </c>
      <c r="O571" t="s">
        <v>41</v>
      </c>
      <c r="P571" s="4">
        <f t="shared" si="16"/>
        <v>85500.273600000015</v>
      </c>
      <c r="Q571" s="4">
        <f t="shared" si="17"/>
        <v>-19583.726399999985</v>
      </c>
      <c r="R571" t="str">
        <f>IF( Table1[[#This Row],[Total Amount after sale]] &gt; 0,"PROFIT","LOSS")</f>
        <v>LOSS</v>
      </c>
      <c r="S571" s="3">
        <f>(Table1[[#This Row],[Total Amount after sale]]/Table1[[#This Row],[Price after discount]])</f>
        <v>-0.22904869862311156</v>
      </c>
    </row>
    <row r="572" spans="1:19" x14ac:dyDescent="0.3">
      <c r="A572">
        <v>1096</v>
      </c>
      <c r="B572" s="1">
        <v>45140</v>
      </c>
      <c r="C572" s="1">
        <f>DATE(YEAR(Table1[[#This Row],[Sale_Date]]), MONTH(Table1[[#This Row],[Sale_Date]]), 1)</f>
        <v>45139</v>
      </c>
      <c r="D572" t="s">
        <v>14</v>
      </c>
      <c r="E572" t="s">
        <v>15</v>
      </c>
      <c r="F572" s="2">
        <v>4815.72</v>
      </c>
      <c r="G572">
        <v>30</v>
      </c>
      <c r="H572" t="s">
        <v>35</v>
      </c>
      <c r="I572" s="2">
        <v>3969.86</v>
      </c>
      <c r="J572" s="2">
        <v>4281.79</v>
      </c>
      <c r="K572" t="s">
        <v>17</v>
      </c>
      <c r="L572" s="5">
        <v>0.08</v>
      </c>
      <c r="M572" t="s">
        <v>27</v>
      </c>
      <c r="N572" t="s">
        <v>22</v>
      </c>
      <c r="O572" t="s">
        <v>20</v>
      </c>
      <c r="P572" s="4">
        <f t="shared" si="16"/>
        <v>118177.40400000001</v>
      </c>
      <c r="Q572" s="4">
        <f t="shared" si="17"/>
        <v>-918.39599999999336</v>
      </c>
      <c r="R572" t="str">
        <f>IF( Table1[[#This Row],[Total Amount after sale]] &gt; 0,"PROFIT","LOSS")</f>
        <v>LOSS</v>
      </c>
      <c r="S572" s="3">
        <f>(Table1[[#This Row],[Total Amount after sale]]/Table1[[#This Row],[Price after discount]])</f>
        <v>-7.7713333422013003E-3</v>
      </c>
    </row>
    <row r="573" spans="1:19" x14ac:dyDescent="0.3">
      <c r="A573">
        <v>1038</v>
      </c>
      <c r="B573" s="1">
        <v>45140</v>
      </c>
      <c r="C573" s="1">
        <f>DATE(YEAR(Table1[[#This Row],[Sale_Date]]), MONTH(Table1[[#This Row],[Sale_Date]]), 1)</f>
        <v>45139</v>
      </c>
      <c r="D573" t="s">
        <v>42</v>
      </c>
      <c r="E573" t="s">
        <v>34</v>
      </c>
      <c r="F573" s="2">
        <v>8489.14</v>
      </c>
      <c r="G573">
        <v>43</v>
      </c>
      <c r="H573" t="s">
        <v>16</v>
      </c>
      <c r="I573" s="2">
        <v>3031.17</v>
      </c>
      <c r="J573" s="2">
        <v>3231.32</v>
      </c>
      <c r="K573" t="s">
        <v>17</v>
      </c>
      <c r="L573" s="5">
        <v>0.22</v>
      </c>
      <c r="M573" t="s">
        <v>18</v>
      </c>
      <c r="N573" t="s">
        <v>22</v>
      </c>
      <c r="O573" t="s">
        <v>52</v>
      </c>
      <c r="P573" s="4">
        <f t="shared" si="16"/>
        <v>108378.47280000002</v>
      </c>
      <c r="Q573" s="4">
        <f t="shared" si="17"/>
        <v>-21961.837199999987</v>
      </c>
      <c r="R573" t="str">
        <f>IF( Table1[[#This Row],[Total Amount after sale]] &gt; 0,"PROFIT","LOSS")</f>
        <v>LOSS</v>
      </c>
      <c r="S573" s="3">
        <f>(Table1[[#This Row],[Total Amount after sale]]/Table1[[#This Row],[Price after discount]])</f>
        <v>-0.2026402165726032</v>
      </c>
    </row>
    <row r="574" spans="1:19" x14ac:dyDescent="0.3">
      <c r="A574">
        <v>1029</v>
      </c>
      <c r="B574" s="1">
        <v>45140</v>
      </c>
      <c r="C574" s="1">
        <f>DATE(YEAR(Table1[[#This Row],[Sale_Date]]), MONTH(Table1[[#This Row],[Sale_Date]]), 1)</f>
        <v>45139</v>
      </c>
      <c r="D574" t="s">
        <v>38</v>
      </c>
      <c r="E574" t="s">
        <v>25</v>
      </c>
      <c r="F574" s="2">
        <v>2855.85</v>
      </c>
      <c r="G574">
        <v>46</v>
      </c>
      <c r="H574" t="s">
        <v>16</v>
      </c>
      <c r="I574" s="2">
        <v>4609.66</v>
      </c>
      <c r="J574" s="2">
        <v>4879.1499999999996</v>
      </c>
      <c r="K574" t="s">
        <v>17</v>
      </c>
      <c r="L574" s="5">
        <v>0.3</v>
      </c>
      <c r="M574" t="s">
        <v>18</v>
      </c>
      <c r="N574" t="s">
        <v>22</v>
      </c>
      <c r="O574" t="s">
        <v>39</v>
      </c>
      <c r="P574" s="4">
        <f t="shared" si="16"/>
        <v>157108.62999999998</v>
      </c>
      <c r="Q574" s="4">
        <f t="shared" si="17"/>
        <v>-54935.73</v>
      </c>
      <c r="R574" t="str">
        <f>IF( Table1[[#This Row],[Total Amount after sale]] &gt; 0,"PROFIT","LOSS")</f>
        <v>LOSS</v>
      </c>
      <c r="S574" s="3">
        <f>(Table1[[#This Row],[Total Amount after sale]]/Table1[[#This Row],[Price after discount]])</f>
        <v>-0.34966716977927953</v>
      </c>
    </row>
    <row r="575" spans="1:19" x14ac:dyDescent="0.3">
      <c r="A575">
        <v>1001</v>
      </c>
      <c r="B575" s="1">
        <v>45141</v>
      </c>
      <c r="C575" s="1">
        <f>DATE(YEAR(Table1[[#This Row],[Sale_Date]]), MONTH(Table1[[#This Row],[Sale_Date]]), 1)</f>
        <v>45139</v>
      </c>
      <c r="D575" t="s">
        <v>14</v>
      </c>
      <c r="E575" t="s">
        <v>21</v>
      </c>
      <c r="F575" s="2">
        <v>5879.35</v>
      </c>
      <c r="G575">
        <v>20</v>
      </c>
      <c r="H575" t="s">
        <v>26</v>
      </c>
      <c r="I575" s="2">
        <v>2153.52</v>
      </c>
      <c r="J575" s="2">
        <v>2303.6999999999998</v>
      </c>
      <c r="K575" t="s">
        <v>17</v>
      </c>
      <c r="L575" s="5">
        <v>0.01</v>
      </c>
      <c r="M575" t="s">
        <v>18</v>
      </c>
      <c r="N575" t="s">
        <v>22</v>
      </c>
      <c r="O575" t="s">
        <v>23</v>
      </c>
      <c r="P575" s="4">
        <f t="shared" si="16"/>
        <v>45613.26</v>
      </c>
      <c r="Q575" s="4">
        <f t="shared" si="17"/>
        <v>2542.8600000000006</v>
      </c>
      <c r="R575" t="str">
        <f>IF( Table1[[#This Row],[Total Amount after sale]] &gt; 0,"PROFIT","LOSS")</f>
        <v>PROFIT</v>
      </c>
      <c r="S575" s="3">
        <f>(Table1[[#This Row],[Total Amount after sale]]/Table1[[#This Row],[Price after discount]])</f>
        <v>5.5748262676248099E-2</v>
      </c>
    </row>
    <row r="576" spans="1:19" x14ac:dyDescent="0.3">
      <c r="A576">
        <v>1033</v>
      </c>
      <c r="B576" s="1">
        <v>45141</v>
      </c>
      <c r="C576" s="1">
        <f>DATE(YEAR(Table1[[#This Row],[Sale_Date]]), MONTH(Table1[[#This Row],[Sale_Date]]), 1)</f>
        <v>45139</v>
      </c>
      <c r="D576" t="s">
        <v>42</v>
      </c>
      <c r="E576" t="s">
        <v>21</v>
      </c>
      <c r="F576" s="2">
        <v>1103.5899999999999</v>
      </c>
      <c r="G576">
        <v>40</v>
      </c>
      <c r="H576" t="s">
        <v>26</v>
      </c>
      <c r="I576" s="2">
        <v>541.19000000000005</v>
      </c>
      <c r="J576" s="2">
        <v>595.20000000000005</v>
      </c>
      <c r="K576" t="s">
        <v>17</v>
      </c>
      <c r="L576" s="5">
        <v>0.19</v>
      </c>
      <c r="M576" t="s">
        <v>31</v>
      </c>
      <c r="N576" t="s">
        <v>19</v>
      </c>
      <c r="O576" t="s">
        <v>51</v>
      </c>
      <c r="P576" s="4">
        <f t="shared" si="16"/>
        <v>19284.480000000003</v>
      </c>
      <c r="Q576" s="4">
        <f t="shared" si="17"/>
        <v>-2363.119999999999</v>
      </c>
      <c r="R576" t="str">
        <f>IF( Table1[[#This Row],[Total Amount after sale]] &gt; 0,"PROFIT","LOSS")</f>
        <v>LOSS</v>
      </c>
      <c r="S576" s="3">
        <f>(Table1[[#This Row],[Total Amount after sale]]/Table1[[#This Row],[Price after discount]])</f>
        <v>-0.12253999070755336</v>
      </c>
    </row>
    <row r="577" spans="1:19" x14ac:dyDescent="0.3">
      <c r="A577">
        <v>1043</v>
      </c>
      <c r="B577" s="1">
        <v>45141</v>
      </c>
      <c r="C577" s="1">
        <f>DATE(YEAR(Table1[[#This Row],[Sale_Date]]), MONTH(Table1[[#This Row],[Sale_Date]]), 1)</f>
        <v>45139</v>
      </c>
      <c r="D577" t="s">
        <v>24</v>
      </c>
      <c r="E577" t="s">
        <v>34</v>
      </c>
      <c r="F577" s="2">
        <v>6601.89</v>
      </c>
      <c r="G577">
        <v>22</v>
      </c>
      <c r="H577" t="s">
        <v>35</v>
      </c>
      <c r="I577" s="2">
        <v>4260</v>
      </c>
      <c r="J577" s="2">
        <v>4656.58</v>
      </c>
      <c r="K577" t="s">
        <v>30</v>
      </c>
      <c r="L577" s="5">
        <v>0</v>
      </c>
      <c r="M577" t="s">
        <v>27</v>
      </c>
      <c r="N577" t="s">
        <v>19</v>
      </c>
      <c r="O577" t="s">
        <v>50</v>
      </c>
      <c r="P577" s="4">
        <f t="shared" si="16"/>
        <v>102444.76</v>
      </c>
      <c r="Q577" s="4">
        <f t="shared" si="17"/>
        <v>8724.7599999999984</v>
      </c>
      <c r="R577" t="str">
        <f>IF( Table1[[#This Row],[Total Amount after sale]] &gt; 0,"PROFIT","LOSS")</f>
        <v>PROFIT</v>
      </c>
      <c r="S577" s="3">
        <f>(Table1[[#This Row],[Total Amount after sale]]/Table1[[#This Row],[Price after discount]])</f>
        <v>8.51655077331432E-2</v>
      </c>
    </row>
    <row r="578" spans="1:19" x14ac:dyDescent="0.3">
      <c r="A578">
        <v>1016</v>
      </c>
      <c r="B578" s="1">
        <v>45141</v>
      </c>
      <c r="C578" s="1">
        <f>DATE(YEAR(Table1[[#This Row],[Sale_Date]]), MONTH(Table1[[#This Row],[Sale_Date]]), 1)</f>
        <v>45139</v>
      </c>
      <c r="D578" t="s">
        <v>42</v>
      </c>
      <c r="E578" t="s">
        <v>21</v>
      </c>
      <c r="F578" s="2">
        <v>3080.36</v>
      </c>
      <c r="G578">
        <v>16</v>
      </c>
      <c r="H578" t="s">
        <v>16</v>
      </c>
      <c r="I578" s="2">
        <v>4457.68</v>
      </c>
      <c r="J578" s="2">
        <v>4743.03</v>
      </c>
      <c r="K578" t="s">
        <v>17</v>
      </c>
      <c r="L578" s="5">
        <v>0.19</v>
      </c>
      <c r="M578" t="s">
        <v>18</v>
      </c>
      <c r="N578" t="s">
        <v>19</v>
      </c>
      <c r="O578" t="s">
        <v>51</v>
      </c>
      <c r="P578" s="4">
        <f t="shared" ref="P578:P641" si="18" xml:space="preserve"> J578 * (1 - L578) * G578</f>
        <v>61469.668799999999</v>
      </c>
      <c r="Q578" s="4">
        <f t="shared" ref="Q578:Q641" si="19" xml:space="preserve"> (J578 * (1 - L578) - I578) * G578</f>
        <v>-9853.2112000000052</v>
      </c>
      <c r="R578" t="str">
        <f>IF( Table1[[#This Row],[Total Amount after sale]] &gt; 0,"PROFIT","LOSS")</f>
        <v>LOSS</v>
      </c>
      <c r="S578" s="3">
        <f>(Table1[[#This Row],[Total Amount after sale]]/Table1[[#This Row],[Price after discount]])</f>
        <v>-0.16029387163380984</v>
      </c>
    </row>
    <row r="579" spans="1:19" x14ac:dyDescent="0.3">
      <c r="A579">
        <v>1002</v>
      </c>
      <c r="B579" s="1">
        <v>45141</v>
      </c>
      <c r="C579" s="1">
        <f>DATE(YEAR(Table1[[#This Row],[Sale_Date]]), MONTH(Table1[[#This Row],[Sale_Date]]), 1)</f>
        <v>45139</v>
      </c>
      <c r="D579" t="s">
        <v>42</v>
      </c>
      <c r="E579" t="s">
        <v>25</v>
      </c>
      <c r="F579" s="2">
        <v>8302.7000000000007</v>
      </c>
      <c r="G579">
        <v>16</v>
      </c>
      <c r="H579" t="s">
        <v>16</v>
      </c>
      <c r="I579" s="2">
        <v>2872.4</v>
      </c>
      <c r="J579" s="2">
        <v>3193.76</v>
      </c>
      <c r="K579" t="s">
        <v>17</v>
      </c>
      <c r="L579" s="5">
        <v>0.04</v>
      </c>
      <c r="M579" t="s">
        <v>31</v>
      </c>
      <c r="N579" t="s">
        <v>19</v>
      </c>
      <c r="O579" t="s">
        <v>43</v>
      </c>
      <c r="P579" s="4">
        <f t="shared" si="18"/>
        <v>49056.153600000005</v>
      </c>
      <c r="Q579" s="4">
        <f t="shared" si="19"/>
        <v>3097.7536000000036</v>
      </c>
      <c r="R579" t="str">
        <f>IF( Table1[[#This Row],[Total Amount after sale]] &gt; 0,"PROFIT","LOSS")</f>
        <v>PROFIT</v>
      </c>
      <c r="S579" s="3">
        <f>(Table1[[#This Row],[Total Amount after sale]]/Table1[[#This Row],[Price after discount]])</f>
        <v>6.3147095168912787E-2</v>
      </c>
    </row>
    <row r="580" spans="1:19" x14ac:dyDescent="0.3">
      <c r="A580">
        <v>1023</v>
      </c>
      <c r="B580" s="1">
        <v>45141</v>
      </c>
      <c r="C580" s="1">
        <f>DATE(YEAR(Table1[[#This Row],[Sale_Date]]), MONTH(Table1[[#This Row],[Sale_Date]]), 1)</f>
        <v>45139</v>
      </c>
      <c r="D580" t="s">
        <v>24</v>
      </c>
      <c r="E580" t="s">
        <v>21</v>
      </c>
      <c r="F580" s="2">
        <v>8055.02</v>
      </c>
      <c r="G580">
        <v>45</v>
      </c>
      <c r="H580" t="s">
        <v>26</v>
      </c>
      <c r="I580" s="2">
        <v>4692.24</v>
      </c>
      <c r="J580" s="2">
        <v>4825.92</v>
      </c>
      <c r="K580" t="s">
        <v>17</v>
      </c>
      <c r="L580" s="5">
        <v>0.19</v>
      </c>
      <c r="M580" t="s">
        <v>27</v>
      </c>
      <c r="N580" t="s">
        <v>22</v>
      </c>
      <c r="O580" t="s">
        <v>47</v>
      </c>
      <c r="P580" s="4">
        <f t="shared" si="18"/>
        <v>175904.78400000001</v>
      </c>
      <c r="Q580" s="4">
        <f t="shared" si="19"/>
        <v>-35246.015999999974</v>
      </c>
      <c r="R580" t="str">
        <f>IF( Table1[[#This Row],[Total Amount after sale]] &gt; 0,"PROFIT","LOSS")</f>
        <v>LOSS</v>
      </c>
      <c r="S580" s="3">
        <f>(Table1[[#This Row],[Total Amount after sale]]/Table1[[#This Row],[Price after discount]])</f>
        <v>-0.20036985463681289</v>
      </c>
    </row>
    <row r="581" spans="1:19" x14ac:dyDescent="0.3">
      <c r="A581">
        <v>1028</v>
      </c>
      <c r="B581" s="1">
        <v>45142</v>
      </c>
      <c r="C581" s="1">
        <f>DATE(YEAR(Table1[[#This Row],[Sale_Date]]), MONTH(Table1[[#This Row],[Sale_Date]]), 1)</f>
        <v>45139</v>
      </c>
      <c r="D581" t="s">
        <v>42</v>
      </c>
      <c r="E581" t="s">
        <v>15</v>
      </c>
      <c r="F581" s="2">
        <v>2363.9</v>
      </c>
      <c r="G581">
        <v>38</v>
      </c>
      <c r="H581" t="s">
        <v>29</v>
      </c>
      <c r="I581" s="2">
        <v>3350.32</v>
      </c>
      <c r="J581" s="2">
        <v>3449.94</v>
      </c>
      <c r="K581" t="s">
        <v>30</v>
      </c>
      <c r="L581" s="5">
        <v>0.26</v>
      </c>
      <c r="M581" t="s">
        <v>18</v>
      </c>
      <c r="N581" t="s">
        <v>19</v>
      </c>
      <c r="O581" t="s">
        <v>49</v>
      </c>
      <c r="P581" s="4">
        <f t="shared" si="18"/>
        <v>97012.312800000014</v>
      </c>
      <c r="Q581" s="4">
        <f t="shared" si="19"/>
        <v>-30299.847199999997</v>
      </c>
      <c r="R581" t="str">
        <f>IF( Table1[[#This Row],[Total Amount after sale]] &gt; 0,"PROFIT","LOSS")</f>
        <v>LOSS</v>
      </c>
      <c r="S581" s="3">
        <f>(Table1[[#This Row],[Total Amount after sale]]/Table1[[#This Row],[Price after discount]])</f>
        <v>-0.31232991282731271</v>
      </c>
    </row>
    <row r="582" spans="1:19" x14ac:dyDescent="0.3">
      <c r="A582">
        <v>1047</v>
      </c>
      <c r="B582" s="1">
        <v>45142</v>
      </c>
      <c r="C582" s="1">
        <f>DATE(YEAR(Table1[[#This Row],[Sale_Date]]), MONTH(Table1[[#This Row],[Sale_Date]]), 1)</f>
        <v>45139</v>
      </c>
      <c r="D582" t="s">
        <v>38</v>
      </c>
      <c r="E582" t="s">
        <v>25</v>
      </c>
      <c r="F582" s="2">
        <v>733.66</v>
      </c>
      <c r="G582">
        <v>47</v>
      </c>
      <c r="H582" t="s">
        <v>29</v>
      </c>
      <c r="I582" s="2">
        <v>4729.59</v>
      </c>
      <c r="J582" s="2">
        <v>4976.68</v>
      </c>
      <c r="K582" t="s">
        <v>17</v>
      </c>
      <c r="L582" s="5">
        <v>0.18</v>
      </c>
      <c r="M582" t="s">
        <v>31</v>
      </c>
      <c r="N582" t="s">
        <v>22</v>
      </c>
      <c r="O582" t="s">
        <v>39</v>
      </c>
      <c r="P582" s="4">
        <f t="shared" si="18"/>
        <v>191801.24720000004</v>
      </c>
      <c r="Q582" s="4">
        <f t="shared" si="19"/>
        <v>-30489.482799999972</v>
      </c>
      <c r="R582" t="str">
        <f>IF( Table1[[#This Row],[Total Amount after sale]] &gt; 0,"PROFIT","LOSS")</f>
        <v>LOSS</v>
      </c>
      <c r="S582" s="3">
        <f>(Table1[[#This Row],[Total Amount after sale]]/Table1[[#This Row],[Price after discount]])</f>
        <v>-0.15896394442215059</v>
      </c>
    </row>
    <row r="583" spans="1:19" x14ac:dyDescent="0.3">
      <c r="A583">
        <v>1035</v>
      </c>
      <c r="B583" s="1">
        <v>45142</v>
      </c>
      <c r="C583" s="1">
        <f>DATE(YEAR(Table1[[#This Row],[Sale_Date]]), MONTH(Table1[[#This Row],[Sale_Date]]), 1)</f>
        <v>45139</v>
      </c>
      <c r="D583" t="s">
        <v>24</v>
      </c>
      <c r="E583" t="s">
        <v>25</v>
      </c>
      <c r="F583" s="2">
        <v>3817.14</v>
      </c>
      <c r="G583">
        <v>30</v>
      </c>
      <c r="H583" t="s">
        <v>35</v>
      </c>
      <c r="I583" s="2">
        <v>3813.62</v>
      </c>
      <c r="J583" s="2">
        <v>3839.72</v>
      </c>
      <c r="K583" t="s">
        <v>30</v>
      </c>
      <c r="L583" s="5">
        <v>0.21</v>
      </c>
      <c r="M583" t="s">
        <v>31</v>
      </c>
      <c r="N583" t="s">
        <v>19</v>
      </c>
      <c r="O583" t="s">
        <v>28</v>
      </c>
      <c r="P583" s="4">
        <f t="shared" si="18"/>
        <v>91001.364000000001</v>
      </c>
      <c r="Q583" s="4">
        <f t="shared" si="19"/>
        <v>-23407.235999999997</v>
      </c>
      <c r="R583" t="str">
        <f>IF( Table1[[#This Row],[Total Amount after sale]] &gt; 0,"PROFIT","LOSS")</f>
        <v>LOSS</v>
      </c>
      <c r="S583" s="3">
        <f>(Table1[[#This Row],[Total Amount after sale]]/Table1[[#This Row],[Price after discount]])</f>
        <v>-0.2572185181751781</v>
      </c>
    </row>
    <row r="584" spans="1:19" x14ac:dyDescent="0.3">
      <c r="A584">
        <v>1001</v>
      </c>
      <c r="B584" s="1">
        <v>45142</v>
      </c>
      <c r="C584" s="1">
        <f>DATE(YEAR(Table1[[#This Row],[Sale_Date]]), MONTH(Table1[[#This Row],[Sale_Date]]), 1)</f>
        <v>45139</v>
      </c>
      <c r="D584" t="s">
        <v>24</v>
      </c>
      <c r="E584" t="s">
        <v>21</v>
      </c>
      <c r="F584" s="2">
        <v>9087.6</v>
      </c>
      <c r="G584">
        <v>20</v>
      </c>
      <c r="H584" t="s">
        <v>26</v>
      </c>
      <c r="I584" s="2">
        <v>3279.76</v>
      </c>
      <c r="J584" s="2">
        <v>3563.97</v>
      </c>
      <c r="K584" t="s">
        <v>17</v>
      </c>
      <c r="L584" s="5">
        <v>0.25</v>
      </c>
      <c r="M584" t="s">
        <v>18</v>
      </c>
      <c r="N584" t="s">
        <v>22</v>
      </c>
      <c r="O584" t="s">
        <v>47</v>
      </c>
      <c r="P584" s="4">
        <f t="shared" si="18"/>
        <v>53459.55</v>
      </c>
      <c r="Q584" s="4">
        <f t="shared" si="19"/>
        <v>-12135.650000000005</v>
      </c>
      <c r="R584" t="str">
        <f>IF( Table1[[#This Row],[Total Amount after sale]] &gt; 0,"PROFIT","LOSS")</f>
        <v>LOSS</v>
      </c>
      <c r="S584" s="3">
        <f>(Table1[[#This Row],[Total Amount after sale]]/Table1[[#This Row],[Price after discount]])</f>
        <v>-0.22700621310878982</v>
      </c>
    </row>
    <row r="585" spans="1:19" x14ac:dyDescent="0.3">
      <c r="A585">
        <v>1001</v>
      </c>
      <c r="B585" s="1">
        <v>45143</v>
      </c>
      <c r="C585" s="1">
        <f>DATE(YEAR(Table1[[#This Row],[Sale_Date]]), MONTH(Table1[[#This Row],[Sale_Date]]), 1)</f>
        <v>45139</v>
      </c>
      <c r="D585" t="s">
        <v>14</v>
      </c>
      <c r="E585" t="s">
        <v>15</v>
      </c>
      <c r="F585" s="2">
        <v>8247.5400000000009</v>
      </c>
      <c r="G585">
        <v>4</v>
      </c>
      <c r="H585" t="s">
        <v>26</v>
      </c>
      <c r="I585" s="2">
        <v>1791.83</v>
      </c>
      <c r="J585" s="2">
        <v>1871.22</v>
      </c>
      <c r="K585" t="s">
        <v>17</v>
      </c>
      <c r="L585" s="5">
        <v>0.12</v>
      </c>
      <c r="M585" t="s">
        <v>27</v>
      </c>
      <c r="N585" t="s">
        <v>19</v>
      </c>
      <c r="O585" t="s">
        <v>20</v>
      </c>
      <c r="P585" s="4">
        <f t="shared" si="18"/>
        <v>6586.6944000000003</v>
      </c>
      <c r="Q585" s="4">
        <f t="shared" si="19"/>
        <v>-580.62559999999939</v>
      </c>
      <c r="R585" t="str">
        <f>IF( Table1[[#This Row],[Total Amount after sale]] &gt; 0,"PROFIT","LOSS")</f>
        <v>LOSS</v>
      </c>
      <c r="S585" s="3">
        <f>(Table1[[#This Row],[Total Amount after sale]]/Table1[[#This Row],[Price after discount]])</f>
        <v>-8.8151288755707172E-2</v>
      </c>
    </row>
    <row r="586" spans="1:19" x14ac:dyDescent="0.3">
      <c r="A586">
        <v>1030</v>
      </c>
      <c r="B586" s="1">
        <v>45143</v>
      </c>
      <c r="C586" s="1">
        <f>DATE(YEAR(Table1[[#This Row],[Sale_Date]]), MONTH(Table1[[#This Row],[Sale_Date]]), 1)</f>
        <v>45139</v>
      </c>
      <c r="D586" t="s">
        <v>14</v>
      </c>
      <c r="E586" t="s">
        <v>21</v>
      </c>
      <c r="F586" s="2">
        <v>9733.4599999999991</v>
      </c>
      <c r="G586">
        <v>34</v>
      </c>
      <c r="H586" t="s">
        <v>35</v>
      </c>
      <c r="I586" s="2">
        <v>3125.07</v>
      </c>
      <c r="J586" s="2">
        <v>3564.19</v>
      </c>
      <c r="K586" t="s">
        <v>17</v>
      </c>
      <c r="L586" s="5">
        <v>0.09</v>
      </c>
      <c r="M586" t="s">
        <v>18</v>
      </c>
      <c r="N586" t="s">
        <v>19</v>
      </c>
      <c r="O586" t="s">
        <v>23</v>
      </c>
      <c r="P586" s="4">
        <f t="shared" si="18"/>
        <v>110276.03860000001</v>
      </c>
      <c r="Q586" s="4">
        <f t="shared" si="19"/>
        <v>4023.6586000000034</v>
      </c>
      <c r="R586" t="str">
        <f>IF( Table1[[#This Row],[Total Amount after sale]] &gt; 0,"PROFIT","LOSS")</f>
        <v>PROFIT</v>
      </c>
      <c r="S586" s="3">
        <f>(Table1[[#This Row],[Total Amount after sale]]/Table1[[#This Row],[Price after discount]])</f>
        <v>3.6487152159997913E-2</v>
      </c>
    </row>
    <row r="587" spans="1:19" x14ac:dyDescent="0.3">
      <c r="A587">
        <v>1079</v>
      </c>
      <c r="B587" s="1">
        <v>45144</v>
      </c>
      <c r="C587" s="1">
        <f>DATE(YEAR(Table1[[#This Row],[Sale_Date]]), MONTH(Table1[[#This Row],[Sale_Date]]), 1)</f>
        <v>45139</v>
      </c>
      <c r="D587" t="s">
        <v>24</v>
      </c>
      <c r="E587" t="s">
        <v>15</v>
      </c>
      <c r="F587" s="2">
        <v>1107.8599999999999</v>
      </c>
      <c r="G587">
        <v>45</v>
      </c>
      <c r="H587" t="s">
        <v>29</v>
      </c>
      <c r="I587" s="2">
        <v>1406.9</v>
      </c>
      <c r="J587" s="2">
        <v>1547.35</v>
      </c>
      <c r="K587" t="s">
        <v>30</v>
      </c>
      <c r="L587" s="5">
        <v>0.17</v>
      </c>
      <c r="M587" t="s">
        <v>18</v>
      </c>
      <c r="N587" t="s">
        <v>22</v>
      </c>
      <c r="O587" t="s">
        <v>45</v>
      </c>
      <c r="P587" s="4">
        <f t="shared" si="18"/>
        <v>57793.522499999992</v>
      </c>
      <c r="Q587" s="4">
        <f t="shared" si="19"/>
        <v>-5516.9775000000118</v>
      </c>
      <c r="R587" t="str">
        <f>IF( Table1[[#This Row],[Total Amount after sale]] &gt; 0,"PROFIT","LOSS")</f>
        <v>LOSS</v>
      </c>
      <c r="S587" s="3">
        <f>(Table1[[#This Row],[Total Amount after sale]]/Table1[[#This Row],[Price after discount]])</f>
        <v>-9.546013569254258E-2</v>
      </c>
    </row>
    <row r="588" spans="1:19" x14ac:dyDescent="0.3">
      <c r="A588">
        <v>1069</v>
      </c>
      <c r="B588" s="1">
        <v>45144</v>
      </c>
      <c r="C588" s="1">
        <f>DATE(YEAR(Table1[[#This Row],[Sale_Date]]), MONTH(Table1[[#This Row],[Sale_Date]]), 1)</f>
        <v>45139</v>
      </c>
      <c r="D588" t="s">
        <v>14</v>
      </c>
      <c r="E588" t="s">
        <v>15</v>
      </c>
      <c r="F588" s="2">
        <v>7936.43</v>
      </c>
      <c r="G588">
        <v>4</v>
      </c>
      <c r="H588" t="s">
        <v>35</v>
      </c>
      <c r="I588" s="2">
        <v>2485.86</v>
      </c>
      <c r="J588" s="2">
        <v>2532.87</v>
      </c>
      <c r="K588" t="s">
        <v>30</v>
      </c>
      <c r="L588" s="5">
        <v>0.01</v>
      </c>
      <c r="M588" t="s">
        <v>31</v>
      </c>
      <c r="N588" t="s">
        <v>19</v>
      </c>
      <c r="O588" t="s">
        <v>20</v>
      </c>
      <c r="P588" s="4">
        <f t="shared" si="18"/>
        <v>10030.165199999999</v>
      </c>
      <c r="Q588" s="4">
        <f t="shared" si="19"/>
        <v>86.725199999998949</v>
      </c>
      <c r="R588" t="str">
        <f>IF( Table1[[#This Row],[Total Amount after sale]] &gt; 0,"PROFIT","LOSS")</f>
        <v>PROFIT</v>
      </c>
      <c r="S588" s="3">
        <f>(Table1[[#This Row],[Total Amount after sale]]/Table1[[#This Row],[Price after discount]])</f>
        <v>8.6464378473047436E-3</v>
      </c>
    </row>
    <row r="589" spans="1:19" x14ac:dyDescent="0.3">
      <c r="A589">
        <v>1015</v>
      </c>
      <c r="B589" s="1">
        <v>45145</v>
      </c>
      <c r="C589" s="1">
        <f>DATE(YEAR(Table1[[#This Row],[Sale_Date]]), MONTH(Table1[[#This Row],[Sale_Date]]), 1)</f>
        <v>45139</v>
      </c>
      <c r="D589" t="s">
        <v>42</v>
      </c>
      <c r="E589" t="s">
        <v>34</v>
      </c>
      <c r="F589" s="2">
        <v>1148.47</v>
      </c>
      <c r="G589">
        <v>19</v>
      </c>
      <c r="H589" t="s">
        <v>29</v>
      </c>
      <c r="I589" s="2">
        <v>433.54</v>
      </c>
      <c r="J589" s="2">
        <v>445.48</v>
      </c>
      <c r="K589" t="s">
        <v>30</v>
      </c>
      <c r="L589" s="5">
        <v>0.28999999999999998</v>
      </c>
      <c r="M589" t="s">
        <v>27</v>
      </c>
      <c r="N589" t="s">
        <v>22</v>
      </c>
      <c r="O589" t="s">
        <v>52</v>
      </c>
      <c r="P589" s="4">
        <f t="shared" si="18"/>
        <v>6009.5252</v>
      </c>
      <c r="Q589" s="4">
        <f t="shared" si="19"/>
        <v>-2227.7348000000006</v>
      </c>
      <c r="R589" t="str">
        <f>IF( Table1[[#This Row],[Total Amount after sale]] &gt; 0,"PROFIT","LOSS")</f>
        <v>LOSS</v>
      </c>
      <c r="S589" s="3">
        <f>(Table1[[#This Row],[Total Amount after sale]]/Table1[[#This Row],[Price after discount]])</f>
        <v>-0.37070063372061418</v>
      </c>
    </row>
    <row r="590" spans="1:19" x14ac:dyDescent="0.3">
      <c r="A590">
        <v>1077</v>
      </c>
      <c r="B590" s="1">
        <v>45145</v>
      </c>
      <c r="C590" s="1">
        <f>DATE(YEAR(Table1[[#This Row],[Sale_Date]]), MONTH(Table1[[#This Row],[Sale_Date]]), 1)</f>
        <v>45139</v>
      </c>
      <c r="D590" t="s">
        <v>33</v>
      </c>
      <c r="E590" t="s">
        <v>34</v>
      </c>
      <c r="F590" s="2">
        <v>242.38</v>
      </c>
      <c r="G590">
        <v>43</v>
      </c>
      <c r="H590" t="s">
        <v>26</v>
      </c>
      <c r="I590" s="2">
        <v>4402.66</v>
      </c>
      <c r="J590" s="2">
        <v>4724.7</v>
      </c>
      <c r="K590" t="s">
        <v>30</v>
      </c>
      <c r="L590" s="5">
        <v>0.1</v>
      </c>
      <c r="M590" t="s">
        <v>27</v>
      </c>
      <c r="N590" t="s">
        <v>22</v>
      </c>
      <c r="O590" t="s">
        <v>36</v>
      </c>
      <c r="P590" s="4">
        <f t="shared" si="18"/>
        <v>182845.88999999998</v>
      </c>
      <c r="Q590" s="4">
        <f t="shared" si="19"/>
        <v>-6468.4900000000125</v>
      </c>
      <c r="R590" t="str">
        <f>IF( Table1[[#This Row],[Total Amount after sale]] &gt; 0,"PROFIT","LOSS")</f>
        <v>LOSS</v>
      </c>
      <c r="S590" s="3">
        <f>(Table1[[#This Row],[Total Amount after sale]]/Table1[[#This Row],[Price after discount]])</f>
        <v>-3.5376731738405567E-2</v>
      </c>
    </row>
    <row r="591" spans="1:19" x14ac:dyDescent="0.3">
      <c r="A591">
        <v>1047</v>
      </c>
      <c r="B591" s="1">
        <v>45146</v>
      </c>
      <c r="C591" s="1">
        <f>DATE(YEAR(Table1[[#This Row],[Sale_Date]]), MONTH(Table1[[#This Row],[Sale_Date]]), 1)</f>
        <v>45139</v>
      </c>
      <c r="D591" t="s">
        <v>24</v>
      </c>
      <c r="E591" t="s">
        <v>15</v>
      </c>
      <c r="F591" s="2">
        <v>1331.25</v>
      </c>
      <c r="G591">
        <v>33</v>
      </c>
      <c r="H591" t="s">
        <v>35</v>
      </c>
      <c r="I591" s="2">
        <v>1341.55</v>
      </c>
      <c r="J591" s="2">
        <v>1427.21</v>
      </c>
      <c r="K591" t="s">
        <v>17</v>
      </c>
      <c r="L591" s="5">
        <v>0.15</v>
      </c>
      <c r="M591" t="s">
        <v>31</v>
      </c>
      <c r="N591" t="s">
        <v>19</v>
      </c>
      <c r="O591" t="s">
        <v>45</v>
      </c>
      <c r="P591" s="4">
        <f t="shared" si="18"/>
        <v>40033.2405</v>
      </c>
      <c r="Q591" s="4">
        <f t="shared" si="19"/>
        <v>-4237.9094999999979</v>
      </c>
      <c r="R591" t="str">
        <f>IF( Table1[[#This Row],[Total Amount after sale]] &gt; 0,"PROFIT","LOSS")</f>
        <v>LOSS</v>
      </c>
      <c r="S591" s="3">
        <f>(Table1[[#This Row],[Total Amount after sale]]/Table1[[#This Row],[Price after discount]])</f>
        <v>-0.10585976671061634</v>
      </c>
    </row>
    <row r="592" spans="1:19" x14ac:dyDescent="0.3">
      <c r="A592">
        <v>1044</v>
      </c>
      <c r="B592" s="1">
        <v>45146</v>
      </c>
      <c r="C592" s="1">
        <f>DATE(YEAR(Table1[[#This Row],[Sale_Date]]), MONTH(Table1[[#This Row],[Sale_Date]]), 1)</f>
        <v>45139</v>
      </c>
      <c r="D592" t="s">
        <v>42</v>
      </c>
      <c r="E592" t="s">
        <v>15</v>
      </c>
      <c r="F592" s="2">
        <v>4912.6899999999996</v>
      </c>
      <c r="G592">
        <v>18</v>
      </c>
      <c r="H592" t="s">
        <v>29</v>
      </c>
      <c r="I592" s="2">
        <v>430.14</v>
      </c>
      <c r="J592" s="2">
        <v>641.17999999999995</v>
      </c>
      <c r="K592" t="s">
        <v>30</v>
      </c>
      <c r="L592" s="5">
        <v>0.13</v>
      </c>
      <c r="M592" t="s">
        <v>18</v>
      </c>
      <c r="N592" t="s">
        <v>19</v>
      </c>
      <c r="O592" t="s">
        <v>49</v>
      </c>
      <c r="P592" s="4">
        <f t="shared" si="18"/>
        <v>10040.8788</v>
      </c>
      <c r="Q592" s="4">
        <f t="shared" si="19"/>
        <v>2298.3588</v>
      </c>
      <c r="R592" t="str">
        <f>IF( Table1[[#This Row],[Total Amount after sale]] &gt; 0,"PROFIT","LOSS")</f>
        <v>PROFIT</v>
      </c>
      <c r="S592" s="3">
        <f>(Table1[[#This Row],[Total Amount after sale]]/Table1[[#This Row],[Price after discount]])</f>
        <v>0.22890016359922599</v>
      </c>
    </row>
    <row r="593" spans="1:19" x14ac:dyDescent="0.3">
      <c r="A593">
        <v>1047</v>
      </c>
      <c r="B593" s="1">
        <v>45147</v>
      </c>
      <c r="C593" s="1">
        <f>DATE(YEAR(Table1[[#This Row],[Sale_Date]]), MONTH(Table1[[#This Row],[Sale_Date]]), 1)</f>
        <v>45139</v>
      </c>
      <c r="D593" t="s">
        <v>24</v>
      </c>
      <c r="E593" t="s">
        <v>15</v>
      </c>
      <c r="F593" s="2">
        <v>1910.09</v>
      </c>
      <c r="G593">
        <v>41</v>
      </c>
      <c r="H593" t="s">
        <v>29</v>
      </c>
      <c r="I593" s="2">
        <v>2888.49</v>
      </c>
      <c r="J593" s="2">
        <v>2929.45</v>
      </c>
      <c r="K593" t="s">
        <v>30</v>
      </c>
      <c r="L593" s="5">
        <v>0.06</v>
      </c>
      <c r="M593" t="s">
        <v>18</v>
      </c>
      <c r="N593" t="s">
        <v>22</v>
      </c>
      <c r="O593" t="s">
        <v>45</v>
      </c>
      <c r="P593" s="4">
        <f t="shared" si="18"/>
        <v>112901.00299999998</v>
      </c>
      <c r="Q593" s="4">
        <f t="shared" si="19"/>
        <v>-5527.0870000000104</v>
      </c>
      <c r="R593" t="str">
        <f>IF( Table1[[#This Row],[Total Amount after sale]] &gt; 0,"PROFIT","LOSS")</f>
        <v>LOSS</v>
      </c>
      <c r="S593" s="3">
        <f>(Table1[[#This Row],[Total Amount after sale]]/Table1[[#This Row],[Price after discount]])</f>
        <v>-4.8955162958118373E-2</v>
      </c>
    </row>
    <row r="594" spans="1:19" x14ac:dyDescent="0.3">
      <c r="A594">
        <v>1075</v>
      </c>
      <c r="B594" s="1">
        <v>45148</v>
      </c>
      <c r="C594" s="1">
        <f>DATE(YEAR(Table1[[#This Row],[Sale_Date]]), MONTH(Table1[[#This Row],[Sale_Date]]), 1)</f>
        <v>45139</v>
      </c>
      <c r="D594" t="s">
        <v>33</v>
      </c>
      <c r="E594" t="s">
        <v>15</v>
      </c>
      <c r="F594" s="2">
        <v>9217.85</v>
      </c>
      <c r="G594">
        <v>17</v>
      </c>
      <c r="H594" t="s">
        <v>35</v>
      </c>
      <c r="I594" s="2">
        <v>4966.66</v>
      </c>
      <c r="J594" s="2">
        <v>5037.2699999999904</v>
      </c>
      <c r="K594" t="s">
        <v>17</v>
      </c>
      <c r="L594" s="5">
        <v>0.24</v>
      </c>
      <c r="M594" t="s">
        <v>27</v>
      </c>
      <c r="N594" t="s">
        <v>22</v>
      </c>
      <c r="O594" t="s">
        <v>53</v>
      </c>
      <c r="P594" s="4">
        <f t="shared" si="18"/>
        <v>65081.528399999879</v>
      </c>
      <c r="Q594" s="4">
        <f t="shared" si="19"/>
        <v>-19351.691600000118</v>
      </c>
      <c r="R594" t="str">
        <f>IF( Table1[[#This Row],[Total Amount after sale]] &gt; 0,"PROFIT","LOSS")</f>
        <v>LOSS</v>
      </c>
      <c r="S594" s="3">
        <f>(Table1[[#This Row],[Total Amount after sale]]/Table1[[#This Row],[Price after discount]])</f>
        <v>-0.29734537703328051</v>
      </c>
    </row>
    <row r="595" spans="1:19" x14ac:dyDescent="0.3">
      <c r="A595">
        <v>1024</v>
      </c>
      <c r="B595" s="1">
        <v>45148</v>
      </c>
      <c r="C595" s="1">
        <f>DATE(YEAR(Table1[[#This Row],[Sale_Date]]), MONTH(Table1[[#This Row],[Sale_Date]]), 1)</f>
        <v>45139</v>
      </c>
      <c r="D595" t="s">
        <v>38</v>
      </c>
      <c r="E595" t="s">
        <v>25</v>
      </c>
      <c r="F595" s="2">
        <v>4384.3900000000003</v>
      </c>
      <c r="G595">
        <v>30</v>
      </c>
      <c r="H595" t="s">
        <v>26</v>
      </c>
      <c r="I595" s="2">
        <v>1543.96</v>
      </c>
      <c r="J595" s="2">
        <v>1558.87</v>
      </c>
      <c r="K595" t="s">
        <v>17</v>
      </c>
      <c r="L595" s="5">
        <v>0.28000000000000003</v>
      </c>
      <c r="M595" t="s">
        <v>31</v>
      </c>
      <c r="N595" t="s">
        <v>19</v>
      </c>
      <c r="O595" t="s">
        <v>39</v>
      </c>
      <c r="P595" s="4">
        <f t="shared" si="18"/>
        <v>33671.591999999997</v>
      </c>
      <c r="Q595" s="4">
        <f t="shared" si="19"/>
        <v>-12647.208000000006</v>
      </c>
      <c r="R595" t="str">
        <f>IF( Table1[[#This Row],[Total Amount after sale]] &gt; 0,"PROFIT","LOSS")</f>
        <v>LOSS</v>
      </c>
      <c r="S595" s="3">
        <f>(Table1[[#This Row],[Total Amount after sale]]/Table1[[#This Row],[Price after discount]])</f>
        <v>-0.37560469371332389</v>
      </c>
    </row>
    <row r="596" spans="1:19" x14ac:dyDescent="0.3">
      <c r="A596">
        <v>1064</v>
      </c>
      <c r="B596" s="1">
        <v>45148</v>
      </c>
      <c r="C596" s="1">
        <f>DATE(YEAR(Table1[[#This Row],[Sale_Date]]), MONTH(Table1[[#This Row],[Sale_Date]]), 1)</f>
        <v>45139</v>
      </c>
      <c r="D596" t="s">
        <v>14</v>
      </c>
      <c r="E596" t="s">
        <v>25</v>
      </c>
      <c r="F596" s="2">
        <v>322.02</v>
      </c>
      <c r="G596">
        <v>5</v>
      </c>
      <c r="H596" t="s">
        <v>26</v>
      </c>
      <c r="I596" s="2">
        <v>421.05</v>
      </c>
      <c r="J596" s="2">
        <v>488.23</v>
      </c>
      <c r="K596" t="s">
        <v>17</v>
      </c>
      <c r="L596" s="5">
        <v>7.0000000000000007E-2</v>
      </c>
      <c r="M596" t="s">
        <v>31</v>
      </c>
      <c r="N596" t="s">
        <v>22</v>
      </c>
      <c r="O596" t="s">
        <v>32</v>
      </c>
      <c r="P596" s="4">
        <f t="shared" si="18"/>
        <v>2270.2694999999999</v>
      </c>
      <c r="Q596" s="4">
        <f t="shared" si="19"/>
        <v>165.01949999999994</v>
      </c>
      <c r="R596" t="str">
        <f>IF( Table1[[#This Row],[Total Amount after sale]] &gt; 0,"PROFIT","LOSS")</f>
        <v>PROFIT</v>
      </c>
      <c r="S596" s="3">
        <f>(Table1[[#This Row],[Total Amount after sale]]/Table1[[#This Row],[Price after discount]])</f>
        <v>7.2687185376009295E-2</v>
      </c>
    </row>
    <row r="597" spans="1:19" x14ac:dyDescent="0.3">
      <c r="A597">
        <v>1017</v>
      </c>
      <c r="B597" s="1">
        <v>45148</v>
      </c>
      <c r="C597" s="1">
        <f>DATE(YEAR(Table1[[#This Row],[Sale_Date]]), MONTH(Table1[[#This Row],[Sale_Date]]), 1)</f>
        <v>45139</v>
      </c>
      <c r="D597" t="s">
        <v>42</v>
      </c>
      <c r="E597" t="s">
        <v>15</v>
      </c>
      <c r="F597" s="2">
        <v>7400.52</v>
      </c>
      <c r="G597">
        <v>43</v>
      </c>
      <c r="H597" t="s">
        <v>16</v>
      </c>
      <c r="I597" s="2">
        <v>1454.8</v>
      </c>
      <c r="J597" s="2">
        <v>1674.97</v>
      </c>
      <c r="K597" t="s">
        <v>30</v>
      </c>
      <c r="L597" s="5">
        <v>0.03</v>
      </c>
      <c r="M597" t="s">
        <v>31</v>
      </c>
      <c r="N597" t="s">
        <v>19</v>
      </c>
      <c r="O597" t="s">
        <v>49</v>
      </c>
      <c r="P597" s="4">
        <f t="shared" si="18"/>
        <v>69862.998699999996</v>
      </c>
      <c r="Q597" s="4">
        <f t="shared" si="19"/>
        <v>7306.5987000000032</v>
      </c>
      <c r="R597" t="str">
        <f>IF( Table1[[#This Row],[Total Amount after sale]] &gt; 0,"PROFIT","LOSS")</f>
        <v>PROFIT</v>
      </c>
      <c r="S597" s="3">
        <f>(Table1[[#This Row],[Total Amount after sale]]/Table1[[#This Row],[Price after discount]])</f>
        <v>0.10458467051171687</v>
      </c>
    </row>
    <row r="598" spans="1:19" x14ac:dyDescent="0.3">
      <c r="A598">
        <v>1015</v>
      </c>
      <c r="B598" s="1">
        <v>45149</v>
      </c>
      <c r="C598" s="1">
        <f>DATE(YEAR(Table1[[#This Row],[Sale_Date]]), MONTH(Table1[[#This Row],[Sale_Date]]), 1)</f>
        <v>45139</v>
      </c>
      <c r="D598" t="s">
        <v>38</v>
      </c>
      <c r="E598" t="s">
        <v>34</v>
      </c>
      <c r="F598" s="2">
        <v>3853.03</v>
      </c>
      <c r="G598">
        <v>32</v>
      </c>
      <c r="H598" t="s">
        <v>16</v>
      </c>
      <c r="I598" s="2">
        <v>970.51</v>
      </c>
      <c r="J598" s="2">
        <v>1330.84</v>
      </c>
      <c r="K598" t="s">
        <v>17</v>
      </c>
      <c r="L598" s="5">
        <v>0.06</v>
      </c>
      <c r="M598" t="s">
        <v>18</v>
      </c>
      <c r="N598" t="s">
        <v>22</v>
      </c>
      <c r="O598" t="s">
        <v>48</v>
      </c>
      <c r="P598" s="4">
        <f t="shared" si="18"/>
        <v>40031.667199999996</v>
      </c>
      <c r="Q598" s="4">
        <f t="shared" si="19"/>
        <v>8975.3471999999965</v>
      </c>
      <c r="R598" t="str">
        <f>IF( Table1[[#This Row],[Total Amount after sale]] &gt; 0,"PROFIT","LOSS")</f>
        <v>PROFIT</v>
      </c>
      <c r="S598" s="3">
        <f>(Table1[[#This Row],[Total Amount after sale]]/Table1[[#This Row],[Price after discount]])</f>
        <v>0.22420618045106044</v>
      </c>
    </row>
    <row r="599" spans="1:19" x14ac:dyDescent="0.3">
      <c r="A599">
        <v>1027</v>
      </c>
      <c r="B599" s="1">
        <v>45149</v>
      </c>
      <c r="C599" s="1">
        <f>DATE(YEAR(Table1[[#This Row],[Sale_Date]]), MONTH(Table1[[#This Row],[Sale_Date]]), 1)</f>
        <v>45139</v>
      </c>
      <c r="D599" t="s">
        <v>38</v>
      </c>
      <c r="E599" t="s">
        <v>15</v>
      </c>
      <c r="F599" s="2">
        <v>1657</v>
      </c>
      <c r="G599">
        <v>43</v>
      </c>
      <c r="H599" t="s">
        <v>29</v>
      </c>
      <c r="I599" s="2">
        <v>4232.6099999999997</v>
      </c>
      <c r="J599" s="2">
        <v>4572.21</v>
      </c>
      <c r="K599" t="s">
        <v>30</v>
      </c>
      <c r="L599" s="5">
        <v>0.01</v>
      </c>
      <c r="M599" t="s">
        <v>18</v>
      </c>
      <c r="N599" t="s">
        <v>22</v>
      </c>
      <c r="O599" t="s">
        <v>40</v>
      </c>
      <c r="P599" s="4">
        <f t="shared" si="18"/>
        <v>194638.9797</v>
      </c>
      <c r="Q599" s="4">
        <f t="shared" si="19"/>
        <v>12636.749700000018</v>
      </c>
      <c r="R599" t="str">
        <f>IF( Table1[[#This Row],[Total Amount after sale]] &gt; 0,"PROFIT","LOSS")</f>
        <v>PROFIT</v>
      </c>
      <c r="S599" s="3">
        <f>(Table1[[#This Row],[Total Amount after sale]]/Table1[[#This Row],[Price after discount]])</f>
        <v>6.4924044091667729E-2</v>
      </c>
    </row>
    <row r="600" spans="1:19" x14ac:dyDescent="0.3">
      <c r="A600">
        <v>1032</v>
      </c>
      <c r="B600" s="1">
        <v>45149</v>
      </c>
      <c r="C600" s="1">
        <f>DATE(YEAR(Table1[[#This Row],[Sale_Date]]), MONTH(Table1[[#This Row],[Sale_Date]]), 1)</f>
        <v>45139</v>
      </c>
      <c r="D600" t="s">
        <v>24</v>
      </c>
      <c r="E600" t="s">
        <v>34</v>
      </c>
      <c r="F600" s="2">
        <v>3147.18</v>
      </c>
      <c r="G600">
        <v>5</v>
      </c>
      <c r="H600" t="s">
        <v>26</v>
      </c>
      <c r="I600" s="2">
        <v>4714.74</v>
      </c>
      <c r="J600" s="2">
        <v>5129.1099999999997</v>
      </c>
      <c r="K600" t="s">
        <v>30</v>
      </c>
      <c r="L600" s="5">
        <v>0.25</v>
      </c>
      <c r="M600" t="s">
        <v>27</v>
      </c>
      <c r="N600" t="s">
        <v>19</v>
      </c>
      <c r="O600" t="s">
        <v>50</v>
      </c>
      <c r="P600" s="4">
        <f t="shared" si="18"/>
        <v>19234.162499999999</v>
      </c>
      <c r="Q600" s="4">
        <f t="shared" si="19"/>
        <v>-4339.5375000000013</v>
      </c>
      <c r="R600" t="str">
        <f>IF( Table1[[#This Row],[Total Amount after sale]] &gt; 0,"PROFIT","LOSS")</f>
        <v>LOSS</v>
      </c>
      <c r="S600" s="3">
        <f>(Table1[[#This Row],[Total Amount after sale]]/Table1[[#This Row],[Price after discount]])</f>
        <v>-0.22561614003209143</v>
      </c>
    </row>
    <row r="601" spans="1:19" x14ac:dyDescent="0.3">
      <c r="A601">
        <v>1028</v>
      </c>
      <c r="B601" s="1">
        <v>45149</v>
      </c>
      <c r="C601" s="1">
        <f>DATE(YEAR(Table1[[#This Row],[Sale_Date]]), MONTH(Table1[[#This Row],[Sale_Date]]), 1)</f>
        <v>45139</v>
      </c>
      <c r="D601" t="s">
        <v>33</v>
      </c>
      <c r="E601" t="s">
        <v>21</v>
      </c>
      <c r="F601" s="2">
        <v>5809.35</v>
      </c>
      <c r="G601">
        <v>45</v>
      </c>
      <c r="H601" t="s">
        <v>29</v>
      </c>
      <c r="I601" s="2">
        <v>4848.9799999999996</v>
      </c>
      <c r="J601" s="2">
        <v>4985.75</v>
      </c>
      <c r="K601" t="s">
        <v>17</v>
      </c>
      <c r="L601" s="5">
        <v>0.2</v>
      </c>
      <c r="M601" t="s">
        <v>27</v>
      </c>
      <c r="N601" t="s">
        <v>19</v>
      </c>
      <c r="O601" t="s">
        <v>37</v>
      </c>
      <c r="P601" s="4">
        <f t="shared" si="18"/>
        <v>179487.00000000003</v>
      </c>
      <c r="Q601" s="4">
        <f t="shared" si="19"/>
        <v>-38717.099999999962</v>
      </c>
      <c r="R601" t="str">
        <f>IF( Table1[[#This Row],[Total Amount after sale]] &gt; 0,"PROFIT","LOSS")</f>
        <v>LOSS</v>
      </c>
      <c r="S601" s="3">
        <f>(Table1[[#This Row],[Total Amount after sale]]/Table1[[#This Row],[Price after discount]])</f>
        <v>-0.21570977285262974</v>
      </c>
    </row>
    <row r="602" spans="1:19" x14ac:dyDescent="0.3">
      <c r="A602">
        <v>1082</v>
      </c>
      <c r="B602" s="1">
        <v>45149</v>
      </c>
      <c r="C602" s="1">
        <f>DATE(YEAR(Table1[[#This Row],[Sale_Date]]), MONTH(Table1[[#This Row],[Sale_Date]]), 1)</f>
        <v>45139</v>
      </c>
      <c r="D602" t="s">
        <v>33</v>
      </c>
      <c r="E602" t="s">
        <v>15</v>
      </c>
      <c r="F602" s="2">
        <v>3207.37</v>
      </c>
      <c r="G602">
        <v>43</v>
      </c>
      <c r="H602" t="s">
        <v>16</v>
      </c>
      <c r="I602" s="2">
        <v>2289.2199999999998</v>
      </c>
      <c r="J602" s="2">
        <v>2581</v>
      </c>
      <c r="K602" t="s">
        <v>30</v>
      </c>
      <c r="L602" s="5">
        <v>0.05</v>
      </c>
      <c r="M602" t="s">
        <v>27</v>
      </c>
      <c r="N602" t="s">
        <v>19</v>
      </c>
      <c r="O602" t="s">
        <v>53</v>
      </c>
      <c r="P602" s="4">
        <f t="shared" si="18"/>
        <v>105433.84999999999</v>
      </c>
      <c r="Q602" s="4">
        <f t="shared" si="19"/>
        <v>6997.3900000000012</v>
      </c>
      <c r="R602" t="str">
        <f>IF( Table1[[#This Row],[Total Amount after sale]] &gt; 0,"PROFIT","LOSS")</f>
        <v>PROFIT</v>
      </c>
      <c r="S602" s="3">
        <f>(Table1[[#This Row],[Total Amount after sale]]/Table1[[#This Row],[Price after discount]])</f>
        <v>6.6367584983380593E-2</v>
      </c>
    </row>
    <row r="603" spans="1:19" x14ac:dyDescent="0.3">
      <c r="A603">
        <v>1060</v>
      </c>
      <c r="B603" s="1">
        <v>45150</v>
      </c>
      <c r="C603" s="1">
        <f>DATE(YEAR(Table1[[#This Row],[Sale_Date]]), MONTH(Table1[[#This Row],[Sale_Date]]), 1)</f>
        <v>45139</v>
      </c>
      <c r="D603" t="s">
        <v>24</v>
      </c>
      <c r="E603" t="s">
        <v>15</v>
      </c>
      <c r="F603" s="2">
        <v>1756.48</v>
      </c>
      <c r="G603">
        <v>5</v>
      </c>
      <c r="H603" t="s">
        <v>16</v>
      </c>
      <c r="I603" s="2">
        <v>3970.08</v>
      </c>
      <c r="J603" s="2">
        <v>4096.4799999999996</v>
      </c>
      <c r="K603" t="s">
        <v>17</v>
      </c>
      <c r="L603" s="5">
        <v>0.13</v>
      </c>
      <c r="M603" t="s">
        <v>18</v>
      </c>
      <c r="N603" t="s">
        <v>22</v>
      </c>
      <c r="O603" t="s">
        <v>45</v>
      </c>
      <c r="P603" s="4">
        <f t="shared" si="18"/>
        <v>17819.687999999998</v>
      </c>
      <c r="Q603" s="4">
        <f t="shared" si="19"/>
        <v>-2030.7120000000009</v>
      </c>
      <c r="R603" t="str">
        <f>IF( Table1[[#This Row],[Total Amount after sale]] &gt; 0,"PROFIT","LOSS")</f>
        <v>LOSS</v>
      </c>
      <c r="S603" s="3">
        <f>(Table1[[#This Row],[Total Amount after sale]]/Table1[[#This Row],[Price after discount]])</f>
        <v>-0.11395889759686034</v>
      </c>
    </row>
    <row r="604" spans="1:19" x14ac:dyDescent="0.3">
      <c r="A604">
        <v>1018</v>
      </c>
      <c r="B604" s="1">
        <v>45150</v>
      </c>
      <c r="C604" s="1">
        <f>DATE(YEAR(Table1[[#This Row],[Sale_Date]]), MONTH(Table1[[#This Row],[Sale_Date]]), 1)</f>
        <v>45139</v>
      </c>
      <c r="D604" t="s">
        <v>33</v>
      </c>
      <c r="E604" t="s">
        <v>15</v>
      </c>
      <c r="F604" s="2">
        <v>2835.56</v>
      </c>
      <c r="G604">
        <v>9</v>
      </c>
      <c r="H604" t="s">
        <v>35</v>
      </c>
      <c r="I604" s="2">
        <v>3161.09</v>
      </c>
      <c r="J604" s="2">
        <v>3216.42</v>
      </c>
      <c r="K604" t="s">
        <v>30</v>
      </c>
      <c r="L604" s="5">
        <v>0.17</v>
      </c>
      <c r="M604" t="s">
        <v>27</v>
      </c>
      <c r="N604" t="s">
        <v>19</v>
      </c>
      <c r="O604" t="s">
        <v>53</v>
      </c>
      <c r="P604" s="4">
        <f t="shared" si="18"/>
        <v>24026.6574</v>
      </c>
      <c r="Q604" s="4">
        <f t="shared" si="19"/>
        <v>-4423.1526000000013</v>
      </c>
      <c r="R604" t="str">
        <f>IF( Table1[[#This Row],[Total Amount after sale]] &gt; 0,"PROFIT","LOSS")</f>
        <v>LOSS</v>
      </c>
      <c r="S604" s="3">
        <f>(Table1[[#This Row],[Total Amount after sale]]/Table1[[#This Row],[Price after discount]])</f>
        <v>-0.18409354769423736</v>
      </c>
    </row>
    <row r="605" spans="1:19" x14ac:dyDescent="0.3">
      <c r="A605">
        <v>1074</v>
      </c>
      <c r="B605" s="1">
        <v>45150</v>
      </c>
      <c r="C605" s="1">
        <f>DATE(YEAR(Table1[[#This Row],[Sale_Date]]), MONTH(Table1[[#This Row],[Sale_Date]]), 1)</f>
        <v>45139</v>
      </c>
      <c r="D605" t="s">
        <v>14</v>
      </c>
      <c r="E605" t="s">
        <v>34</v>
      </c>
      <c r="F605" s="2">
        <v>6011.84</v>
      </c>
      <c r="G605">
        <v>2</v>
      </c>
      <c r="H605" t="s">
        <v>26</v>
      </c>
      <c r="I605" s="2">
        <v>2868.02</v>
      </c>
      <c r="J605" s="2">
        <v>2994.74</v>
      </c>
      <c r="K605" t="s">
        <v>17</v>
      </c>
      <c r="L605" s="5">
        <v>0.18</v>
      </c>
      <c r="M605" t="s">
        <v>27</v>
      </c>
      <c r="N605" t="s">
        <v>19</v>
      </c>
      <c r="O605" t="s">
        <v>46</v>
      </c>
      <c r="P605" s="4">
        <f t="shared" si="18"/>
        <v>4911.3735999999999</v>
      </c>
      <c r="Q605" s="4">
        <f t="shared" si="19"/>
        <v>-824.66640000000007</v>
      </c>
      <c r="R605" t="str">
        <f>IF( Table1[[#This Row],[Total Amount after sale]] &gt; 0,"PROFIT","LOSS")</f>
        <v>LOSS</v>
      </c>
      <c r="S605" s="3">
        <f>(Table1[[#This Row],[Total Amount after sale]]/Table1[[#This Row],[Price after discount]])</f>
        <v>-0.16790952331543257</v>
      </c>
    </row>
    <row r="606" spans="1:19" x14ac:dyDescent="0.3">
      <c r="A606">
        <v>1075</v>
      </c>
      <c r="B606" s="1">
        <v>45150</v>
      </c>
      <c r="C606" s="1">
        <f>DATE(YEAR(Table1[[#This Row],[Sale_Date]]), MONTH(Table1[[#This Row],[Sale_Date]]), 1)</f>
        <v>45139</v>
      </c>
      <c r="D606" t="s">
        <v>24</v>
      </c>
      <c r="E606" t="s">
        <v>34</v>
      </c>
      <c r="F606" s="2">
        <v>8989.4</v>
      </c>
      <c r="G606">
        <v>14</v>
      </c>
      <c r="H606" t="s">
        <v>16</v>
      </c>
      <c r="I606" s="2">
        <v>1612.93</v>
      </c>
      <c r="J606" s="2">
        <v>1964.15</v>
      </c>
      <c r="K606" t="s">
        <v>17</v>
      </c>
      <c r="L606" s="5">
        <v>0.24</v>
      </c>
      <c r="M606" t="s">
        <v>27</v>
      </c>
      <c r="N606" t="s">
        <v>22</v>
      </c>
      <c r="O606" t="s">
        <v>50</v>
      </c>
      <c r="P606" s="4">
        <f t="shared" si="18"/>
        <v>20898.556</v>
      </c>
      <c r="Q606" s="4">
        <f t="shared" si="19"/>
        <v>-1682.463999999999</v>
      </c>
      <c r="R606" t="str">
        <f>IF( Table1[[#This Row],[Total Amount after sale]] &gt; 0,"PROFIT","LOSS")</f>
        <v>LOSS</v>
      </c>
      <c r="S606" s="3">
        <f>(Table1[[#This Row],[Total Amount after sale]]/Table1[[#This Row],[Price after discount]])</f>
        <v>-8.0506232105222911E-2</v>
      </c>
    </row>
    <row r="607" spans="1:19" x14ac:dyDescent="0.3">
      <c r="A607">
        <v>1028</v>
      </c>
      <c r="B607" s="1">
        <v>45150</v>
      </c>
      <c r="C607" s="1">
        <f>DATE(YEAR(Table1[[#This Row],[Sale_Date]]), MONTH(Table1[[#This Row],[Sale_Date]]), 1)</f>
        <v>45139</v>
      </c>
      <c r="D607" t="s">
        <v>33</v>
      </c>
      <c r="E607" t="s">
        <v>25</v>
      </c>
      <c r="F607" s="2">
        <v>2490.8200000000002</v>
      </c>
      <c r="G607">
        <v>41</v>
      </c>
      <c r="H607" t="s">
        <v>29</v>
      </c>
      <c r="I607" s="2">
        <v>3956.03</v>
      </c>
      <c r="J607" s="2">
        <v>4163.68</v>
      </c>
      <c r="K607" t="s">
        <v>30</v>
      </c>
      <c r="L607" s="5">
        <v>0.12</v>
      </c>
      <c r="M607" t="s">
        <v>27</v>
      </c>
      <c r="N607" t="s">
        <v>22</v>
      </c>
      <c r="O607" t="s">
        <v>44</v>
      </c>
      <c r="P607" s="4">
        <f t="shared" si="18"/>
        <v>150225.57440000001</v>
      </c>
      <c r="Q607" s="4">
        <f t="shared" si="19"/>
        <v>-11971.655599999993</v>
      </c>
      <c r="R607" t="str">
        <f>IF( Table1[[#This Row],[Total Amount after sale]] &gt; 0,"PROFIT","LOSS")</f>
        <v>LOSS</v>
      </c>
      <c r="S607" s="3">
        <f>(Table1[[#This Row],[Total Amount after sale]]/Table1[[#This Row],[Price after discount]])</f>
        <v>-7.9691195376118268E-2</v>
      </c>
    </row>
    <row r="608" spans="1:19" x14ac:dyDescent="0.3">
      <c r="A608">
        <v>1084</v>
      </c>
      <c r="B608" s="1">
        <v>45151</v>
      </c>
      <c r="C608" s="1">
        <f>DATE(YEAR(Table1[[#This Row],[Sale_Date]]), MONTH(Table1[[#This Row],[Sale_Date]]), 1)</f>
        <v>45139</v>
      </c>
      <c r="D608" t="s">
        <v>42</v>
      </c>
      <c r="E608" t="s">
        <v>21</v>
      </c>
      <c r="F608" s="2">
        <v>1290.05</v>
      </c>
      <c r="G608">
        <v>21</v>
      </c>
      <c r="H608" t="s">
        <v>16</v>
      </c>
      <c r="I608" s="2">
        <v>3497.98</v>
      </c>
      <c r="J608" s="2">
        <v>3765.31</v>
      </c>
      <c r="K608" t="s">
        <v>30</v>
      </c>
      <c r="L608" s="5">
        <v>0.08</v>
      </c>
      <c r="M608" t="s">
        <v>18</v>
      </c>
      <c r="N608" t="s">
        <v>19</v>
      </c>
      <c r="O608" t="s">
        <v>51</v>
      </c>
      <c r="P608" s="4">
        <f t="shared" si="18"/>
        <v>72745.789199999999</v>
      </c>
      <c r="Q608" s="4">
        <f t="shared" si="19"/>
        <v>-711.79080000000067</v>
      </c>
      <c r="R608" t="str">
        <f>IF( Table1[[#This Row],[Total Amount after sale]] &gt; 0,"PROFIT","LOSS")</f>
        <v>LOSS</v>
      </c>
      <c r="S608" s="3">
        <f>(Table1[[#This Row],[Total Amount after sale]]/Table1[[#This Row],[Price after discount]])</f>
        <v>-9.7846323179349142E-3</v>
      </c>
    </row>
    <row r="609" spans="1:19" x14ac:dyDescent="0.3">
      <c r="A609">
        <v>1035</v>
      </c>
      <c r="B609" s="1">
        <v>45151</v>
      </c>
      <c r="C609" s="1">
        <f>DATE(YEAR(Table1[[#This Row],[Sale_Date]]), MONTH(Table1[[#This Row],[Sale_Date]]), 1)</f>
        <v>45139</v>
      </c>
      <c r="D609" t="s">
        <v>42</v>
      </c>
      <c r="E609" t="s">
        <v>21</v>
      </c>
      <c r="F609" s="2">
        <v>2049.56</v>
      </c>
      <c r="G609">
        <v>5</v>
      </c>
      <c r="H609" t="s">
        <v>29</v>
      </c>
      <c r="I609" s="2">
        <v>3991.69</v>
      </c>
      <c r="J609" s="2">
        <v>4454.97</v>
      </c>
      <c r="K609" t="s">
        <v>30</v>
      </c>
      <c r="L609" s="5">
        <v>0.14000000000000001</v>
      </c>
      <c r="M609" t="s">
        <v>31</v>
      </c>
      <c r="N609" t="s">
        <v>22</v>
      </c>
      <c r="O609" t="s">
        <v>51</v>
      </c>
      <c r="P609" s="4">
        <f t="shared" si="18"/>
        <v>19156.371000000003</v>
      </c>
      <c r="Q609" s="4">
        <f t="shared" si="19"/>
        <v>-802.07899999999881</v>
      </c>
      <c r="R609" t="str">
        <f>IF( Table1[[#This Row],[Total Amount after sale]] &gt; 0,"PROFIT","LOSS")</f>
        <v>LOSS</v>
      </c>
      <c r="S609" s="3">
        <f>(Table1[[#This Row],[Total Amount after sale]]/Table1[[#This Row],[Price after discount]])</f>
        <v>-4.1870091156618272E-2</v>
      </c>
    </row>
    <row r="610" spans="1:19" x14ac:dyDescent="0.3">
      <c r="A610">
        <v>1023</v>
      </c>
      <c r="B610" s="1">
        <v>45151</v>
      </c>
      <c r="C610" s="1">
        <f>DATE(YEAR(Table1[[#This Row],[Sale_Date]]), MONTH(Table1[[#This Row],[Sale_Date]]), 1)</f>
        <v>45139</v>
      </c>
      <c r="D610" t="s">
        <v>14</v>
      </c>
      <c r="E610" t="s">
        <v>34</v>
      </c>
      <c r="F610" s="2">
        <v>4896.93</v>
      </c>
      <c r="G610">
        <v>38</v>
      </c>
      <c r="H610" t="s">
        <v>29</v>
      </c>
      <c r="I610" s="2">
        <v>324.45</v>
      </c>
      <c r="J610" s="2">
        <v>336.37</v>
      </c>
      <c r="K610" t="s">
        <v>30</v>
      </c>
      <c r="L610" s="5">
        <v>0.28000000000000003</v>
      </c>
      <c r="M610" t="s">
        <v>31</v>
      </c>
      <c r="N610" t="s">
        <v>22</v>
      </c>
      <c r="O610" t="s">
        <v>46</v>
      </c>
      <c r="P610" s="4">
        <f t="shared" si="18"/>
        <v>9203.0831999999991</v>
      </c>
      <c r="Q610" s="4">
        <f t="shared" si="19"/>
        <v>-3126.0167999999999</v>
      </c>
      <c r="R610" t="str">
        <f>IF( Table1[[#This Row],[Total Amount after sale]] &gt; 0,"PROFIT","LOSS")</f>
        <v>LOSS</v>
      </c>
      <c r="S610" s="3">
        <f>(Table1[[#This Row],[Total Amount after sale]]/Table1[[#This Row],[Price after discount]])</f>
        <v>-0.33967060082647088</v>
      </c>
    </row>
    <row r="611" spans="1:19" x14ac:dyDescent="0.3">
      <c r="A611">
        <v>1100</v>
      </c>
      <c r="B611" s="1">
        <v>45152</v>
      </c>
      <c r="C611" s="1">
        <f>DATE(YEAR(Table1[[#This Row],[Sale_Date]]), MONTH(Table1[[#This Row],[Sale_Date]]), 1)</f>
        <v>45139</v>
      </c>
      <c r="D611" t="s">
        <v>14</v>
      </c>
      <c r="E611" t="s">
        <v>21</v>
      </c>
      <c r="F611" s="2">
        <v>2198.7399999999998</v>
      </c>
      <c r="G611">
        <v>43</v>
      </c>
      <c r="H611" t="s">
        <v>26</v>
      </c>
      <c r="I611" s="2">
        <v>1100.81</v>
      </c>
      <c r="J611" s="2">
        <v>1137.44</v>
      </c>
      <c r="K611" t="s">
        <v>17</v>
      </c>
      <c r="L611" s="5">
        <v>0.08</v>
      </c>
      <c r="M611" t="s">
        <v>27</v>
      </c>
      <c r="N611" t="s">
        <v>19</v>
      </c>
      <c r="O611" t="s">
        <v>23</v>
      </c>
      <c r="P611" s="4">
        <f t="shared" si="18"/>
        <v>44997.126400000001</v>
      </c>
      <c r="Q611" s="4">
        <f t="shared" si="19"/>
        <v>-2337.703599999998</v>
      </c>
      <c r="R611" t="str">
        <f>IF( Table1[[#This Row],[Total Amount after sale]] &gt; 0,"PROFIT","LOSS")</f>
        <v>LOSS</v>
      </c>
      <c r="S611" s="3">
        <f>(Table1[[#This Row],[Total Amount after sale]]/Table1[[#This Row],[Price after discount]])</f>
        <v>-5.1952286446451786E-2</v>
      </c>
    </row>
    <row r="612" spans="1:19" x14ac:dyDescent="0.3">
      <c r="A612">
        <v>1093</v>
      </c>
      <c r="B612" s="1">
        <v>45152</v>
      </c>
      <c r="C612" s="1">
        <f>DATE(YEAR(Table1[[#This Row],[Sale_Date]]), MONTH(Table1[[#This Row],[Sale_Date]]), 1)</f>
        <v>45139</v>
      </c>
      <c r="D612" t="s">
        <v>24</v>
      </c>
      <c r="E612" t="s">
        <v>21</v>
      </c>
      <c r="F612" s="2">
        <v>6885.89</v>
      </c>
      <c r="G612">
        <v>6</v>
      </c>
      <c r="H612" t="s">
        <v>26</v>
      </c>
      <c r="I612" s="2">
        <v>235.12</v>
      </c>
      <c r="J612" s="2">
        <v>677.5</v>
      </c>
      <c r="K612" t="s">
        <v>17</v>
      </c>
      <c r="L612" s="5">
        <v>0.16</v>
      </c>
      <c r="M612" t="s">
        <v>31</v>
      </c>
      <c r="N612" t="s">
        <v>19</v>
      </c>
      <c r="O612" t="s">
        <v>47</v>
      </c>
      <c r="P612" s="4">
        <f t="shared" si="18"/>
        <v>3414.6000000000004</v>
      </c>
      <c r="Q612" s="4">
        <f t="shared" si="19"/>
        <v>2003.88</v>
      </c>
      <c r="R612" t="str">
        <f>IF( Table1[[#This Row],[Total Amount after sale]] &gt; 0,"PROFIT","LOSS")</f>
        <v>PROFIT</v>
      </c>
      <c r="S612" s="3">
        <f>(Table1[[#This Row],[Total Amount after sale]]/Table1[[#This Row],[Price after discount]])</f>
        <v>0.58685643999297132</v>
      </c>
    </row>
    <row r="613" spans="1:19" x14ac:dyDescent="0.3">
      <c r="A613">
        <v>1013</v>
      </c>
      <c r="B613" s="1">
        <v>45152</v>
      </c>
      <c r="C613" s="1">
        <f>DATE(YEAR(Table1[[#This Row],[Sale_Date]]), MONTH(Table1[[#This Row],[Sale_Date]]), 1)</f>
        <v>45139</v>
      </c>
      <c r="D613" t="s">
        <v>42</v>
      </c>
      <c r="E613" t="s">
        <v>34</v>
      </c>
      <c r="F613" s="2">
        <v>4250.79</v>
      </c>
      <c r="G613">
        <v>26</v>
      </c>
      <c r="H613" t="s">
        <v>29</v>
      </c>
      <c r="I613" s="2">
        <v>3749.12</v>
      </c>
      <c r="J613" s="2">
        <v>4138.83</v>
      </c>
      <c r="K613" t="s">
        <v>30</v>
      </c>
      <c r="L613" s="5">
        <v>0.13</v>
      </c>
      <c r="M613" t="s">
        <v>31</v>
      </c>
      <c r="N613" t="s">
        <v>19</v>
      </c>
      <c r="O613" t="s">
        <v>52</v>
      </c>
      <c r="P613" s="4">
        <f t="shared" si="18"/>
        <v>93620.334600000002</v>
      </c>
      <c r="Q613" s="4">
        <f t="shared" si="19"/>
        <v>-3856.7853999999998</v>
      </c>
      <c r="R613" t="str">
        <f>IF( Table1[[#This Row],[Total Amount after sale]] &gt; 0,"PROFIT","LOSS")</f>
        <v>LOSS</v>
      </c>
      <c r="S613" s="3">
        <f>(Table1[[#This Row],[Total Amount after sale]]/Table1[[#This Row],[Price after discount]])</f>
        <v>-4.1196022386358784E-2</v>
      </c>
    </row>
    <row r="614" spans="1:19" x14ac:dyDescent="0.3">
      <c r="A614">
        <v>1083</v>
      </c>
      <c r="B614" s="1">
        <v>45152</v>
      </c>
      <c r="C614" s="1">
        <f>DATE(YEAR(Table1[[#This Row],[Sale_Date]]), MONTH(Table1[[#This Row],[Sale_Date]]), 1)</f>
        <v>45139</v>
      </c>
      <c r="D614" t="s">
        <v>38</v>
      </c>
      <c r="E614" t="s">
        <v>21</v>
      </c>
      <c r="F614" s="2">
        <v>4902.4399999999996</v>
      </c>
      <c r="G614">
        <v>42</v>
      </c>
      <c r="H614" t="s">
        <v>29</v>
      </c>
      <c r="I614" s="2">
        <v>2505.41</v>
      </c>
      <c r="J614" s="2">
        <v>2638.96</v>
      </c>
      <c r="K614" t="s">
        <v>30</v>
      </c>
      <c r="L614" s="5">
        <v>0.1</v>
      </c>
      <c r="M614" t="s">
        <v>27</v>
      </c>
      <c r="N614" t="s">
        <v>19</v>
      </c>
      <c r="O614" t="s">
        <v>41</v>
      </c>
      <c r="P614" s="4">
        <f t="shared" si="18"/>
        <v>99752.688000000009</v>
      </c>
      <c r="Q614" s="4">
        <f t="shared" si="19"/>
        <v>-5474.5319999999811</v>
      </c>
      <c r="R614" t="str">
        <f>IF( Table1[[#This Row],[Total Amount after sale]] &gt; 0,"PROFIT","LOSS")</f>
        <v>LOSS</v>
      </c>
      <c r="S614" s="3">
        <f>(Table1[[#This Row],[Total Amount after sale]]/Table1[[#This Row],[Price after discount]])</f>
        <v>-5.4881047415985228E-2</v>
      </c>
    </row>
    <row r="615" spans="1:19" x14ac:dyDescent="0.3">
      <c r="A615">
        <v>1066</v>
      </c>
      <c r="B615" s="1">
        <v>45152</v>
      </c>
      <c r="C615" s="1">
        <f>DATE(YEAR(Table1[[#This Row],[Sale_Date]]), MONTH(Table1[[#This Row],[Sale_Date]]), 1)</f>
        <v>45139</v>
      </c>
      <c r="D615" t="s">
        <v>42</v>
      </c>
      <c r="E615" t="s">
        <v>25</v>
      </c>
      <c r="F615" s="2">
        <v>4891.49</v>
      </c>
      <c r="G615">
        <v>20</v>
      </c>
      <c r="H615" t="s">
        <v>35</v>
      </c>
      <c r="I615" s="2">
        <v>955.18</v>
      </c>
      <c r="J615" s="2">
        <v>1072.82</v>
      </c>
      <c r="K615" t="s">
        <v>30</v>
      </c>
      <c r="L615" s="5">
        <v>0.03</v>
      </c>
      <c r="M615" t="s">
        <v>27</v>
      </c>
      <c r="N615" t="s">
        <v>22</v>
      </c>
      <c r="O615" t="s">
        <v>43</v>
      </c>
      <c r="P615" s="4">
        <f t="shared" si="18"/>
        <v>20812.707999999999</v>
      </c>
      <c r="Q615" s="4">
        <f t="shared" si="19"/>
        <v>1709.1079999999988</v>
      </c>
      <c r="R615" t="str">
        <f>IF( Table1[[#This Row],[Total Amount after sale]] &gt; 0,"PROFIT","LOSS")</f>
        <v>PROFIT</v>
      </c>
      <c r="S615" s="3">
        <f>(Table1[[#This Row],[Total Amount after sale]]/Table1[[#This Row],[Price after discount]])</f>
        <v>8.211848261168124E-2</v>
      </c>
    </row>
    <row r="616" spans="1:19" x14ac:dyDescent="0.3">
      <c r="A616">
        <v>1065</v>
      </c>
      <c r="B616" s="1">
        <v>45152</v>
      </c>
      <c r="C616" s="1">
        <f>DATE(YEAR(Table1[[#This Row],[Sale_Date]]), MONTH(Table1[[#This Row],[Sale_Date]]), 1)</f>
        <v>45139</v>
      </c>
      <c r="D616" t="s">
        <v>14</v>
      </c>
      <c r="E616" t="s">
        <v>21</v>
      </c>
      <c r="F616" s="2">
        <v>5878.76</v>
      </c>
      <c r="G616">
        <v>26</v>
      </c>
      <c r="H616" t="s">
        <v>29</v>
      </c>
      <c r="I616" s="2">
        <v>4337.8500000000004</v>
      </c>
      <c r="J616" s="2">
        <v>4612.49</v>
      </c>
      <c r="K616" t="s">
        <v>17</v>
      </c>
      <c r="L616" s="5">
        <v>0.01</v>
      </c>
      <c r="M616" t="s">
        <v>18</v>
      </c>
      <c r="N616" t="s">
        <v>22</v>
      </c>
      <c r="O616" t="s">
        <v>23</v>
      </c>
      <c r="P616" s="4">
        <f t="shared" si="18"/>
        <v>118725.4926</v>
      </c>
      <c r="Q616" s="4">
        <f t="shared" si="19"/>
        <v>5941.3925999999901</v>
      </c>
      <c r="R616" t="str">
        <f>IF( Table1[[#This Row],[Total Amount after sale]] &gt; 0,"PROFIT","LOSS")</f>
        <v>PROFIT</v>
      </c>
      <c r="S616" s="3">
        <f>(Table1[[#This Row],[Total Amount after sale]]/Table1[[#This Row],[Price after discount]])</f>
        <v>5.0043107591199752E-2</v>
      </c>
    </row>
    <row r="617" spans="1:19" x14ac:dyDescent="0.3">
      <c r="A617">
        <v>1063</v>
      </c>
      <c r="B617" s="1">
        <v>45152</v>
      </c>
      <c r="C617" s="1">
        <f>DATE(YEAR(Table1[[#This Row],[Sale_Date]]), MONTH(Table1[[#This Row],[Sale_Date]]), 1)</f>
        <v>45139</v>
      </c>
      <c r="D617" t="s">
        <v>14</v>
      </c>
      <c r="E617" t="s">
        <v>15</v>
      </c>
      <c r="F617" s="2">
        <v>9956.75</v>
      </c>
      <c r="G617">
        <v>27</v>
      </c>
      <c r="H617" t="s">
        <v>29</v>
      </c>
      <c r="I617" s="2">
        <v>3760.25</v>
      </c>
      <c r="J617" s="2">
        <v>4147.1099999999997</v>
      </c>
      <c r="K617" t="s">
        <v>30</v>
      </c>
      <c r="L617" s="5">
        <v>0.22</v>
      </c>
      <c r="M617" t="s">
        <v>18</v>
      </c>
      <c r="N617" t="s">
        <v>19</v>
      </c>
      <c r="O617" t="s">
        <v>20</v>
      </c>
      <c r="P617" s="4">
        <f t="shared" si="18"/>
        <v>87338.136599999998</v>
      </c>
      <c r="Q617" s="4">
        <f t="shared" si="19"/>
        <v>-14188.613400000009</v>
      </c>
      <c r="R617" t="str">
        <f>IF( Table1[[#This Row],[Total Amount after sale]] &gt; 0,"PROFIT","LOSS")</f>
        <v>LOSS</v>
      </c>
      <c r="S617" s="3">
        <f>(Table1[[#This Row],[Total Amount after sale]]/Table1[[#This Row],[Price after discount]])</f>
        <v>-0.16245610396959179</v>
      </c>
    </row>
    <row r="618" spans="1:19" x14ac:dyDescent="0.3">
      <c r="A618">
        <v>1068</v>
      </c>
      <c r="B618" s="1">
        <v>45153</v>
      </c>
      <c r="C618" s="1">
        <f>DATE(YEAR(Table1[[#This Row],[Sale_Date]]), MONTH(Table1[[#This Row],[Sale_Date]]), 1)</f>
        <v>45139</v>
      </c>
      <c r="D618" t="s">
        <v>42</v>
      </c>
      <c r="E618" t="s">
        <v>25</v>
      </c>
      <c r="F618" s="2">
        <v>7262.13</v>
      </c>
      <c r="G618">
        <v>21</v>
      </c>
      <c r="H618" t="s">
        <v>26</v>
      </c>
      <c r="I618" s="2">
        <v>1142.53</v>
      </c>
      <c r="J618" s="2">
        <v>1384.3</v>
      </c>
      <c r="K618" t="s">
        <v>17</v>
      </c>
      <c r="L618" s="5">
        <v>0.02</v>
      </c>
      <c r="M618" t="s">
        <v>31</v>
      </c>
      <c r="N618" t="s">
        <v>22</v>
      </c>
      <c r="O618" t="s">
        <v>43</v>
      </c>
      <c r="P618" s="4">
        <f t="shared" si="18"/>
        <v>28488.894</v>
      </c>
      <c r="Q618" s="4">
        <f t="shared" si="19"/>
        <v>4495.764000000001</v>
      </c>
      <c r="R618" t="str">
        <f>IF( Table1[[#This Row],[Total Amount after sale]] &gt; 0,"PROFIT","LOSS")</f>
        <v>PROFIT</v>
      </c>
      <c r="S618" s="3">
        <f>(Table1[[#This Row],[Total Amount after sale]]/Table1[[#This Row],[Price after discount]])</f>
        <v>0.15780760039333225</v>
      </c>
    </row>
    <row r="619" spans="1:19" x14ac:dyDescent="0.3">
      <c r="A619">
        <v>1063</v>
      </c>
      <c r="B619" s="1">
        <v>45153</v>
      </c>
      <c r="C619" s="1">
        <f>DATE(YEAR(Table1[[#This Row],[Sale_Date]]), MONTH(Table1[[#This Row],[Sale_Date]]), 1)</f>
        <v>45139</v>
      </c>
      <c r="D619" t="s">
        <v>42</v>
      </c>
      <c r="E619" t="s">
        <v>34</v>
      </c>
      <c r="F619" s="2">
        <v>2780.98</v>
      </c>
      <c r="G619">
        <v>26</v>
      </c>
      <c r="H619" t="s">
        <v>26</v>
      </c>
      <c r="I619" s="2">
        <v>1046.96</v>
      </c>
      <c r="J619" s="2">
        <v>1528.15</v>
      </c>
      <c r="K619" t="s">
        <v>30</v>
      </c>
      <c r="L619" s="5">
        <v>7.0000000000000007E-2</v>
      </c>
      <c r="M619" t="s">
        <v>31</v>
      </c>
      <c r="N619" t="s">
        <v>22</v>
      </c>
      <c r="O619" t="s">
        <v>52</v>
      </c>
      <c r="P619" s="4">
        <f t="shared" si="18"/>
        <v>36950.667000000001</v>
      </c>
      <c r="Q619" s="4">
        <f t="shared" si="19"/>
        <v>9729.7069999999985</v>
      </c>
      <c r="R619" t="str">
        <f>IF( Table1[[#This Row],[Total Amount after sale]] &gt; 0,"PROFIT","LOSS")</f>
        <v>PROFIT</v>
      </c>
      <c r="S619" s="3">
        <f>(Table1[[#This Row],[Total Amount after sale]]/Table1[[#This Row],[Price after discount]])</f>
        <v>0.26331613986832764</v>
      </c>
    </row>
    <row r="620" spans="1:19" x14ac:dyDescent="0.3">
      <c r="A620">
        <v>1046</v>
      </c>
      <c r="B620" s="1">
        <v>45153</v>
      </c>
      <c r="C620" s="1">
        <f>DATE(YEAR(Table1[[#This Row],[Sale_Date]]), MONTH(Table1[[#This Row],[Sale_Date]]), 1)</f>
        <v>45139</v>
      </c>
      <c r="D620" t="s">
        <v>42</v>
      </c>
      <c r="E620" t="s">
        <v>25</v>
      </c>
      <c r="F620" s="2">
        <v>2373.02</v>
      </c>
      <c r="G620">
        <v>4</v>
      </c>
      <c r="H620" t="s">
        <v>16</v>
      </c>
      <c r="I620" s="2">
        <v>4095.1</v>
      </c>
      <c r="J620" s="2">
        <v>4134.55</v>
      </c>
      <c r="K620" t="s">
        <v>17</v>
      </c>
      <c r="L620" s="5">
        <v>0.09</v>
      </c>
      <c r="M620" t="s">
        <v>27</v>
      </c>
      <c r="N620" t="s">
        <v>22</v>
      </c>
      <c r="O620" t="s">
        <v>43</v>
      </c>
      <c r="P620" s="4">
        <f t="shared" si="18"/>
        <v>15049.762000000001</v>
      </c>
      <c r="Q620" s="4">
        <f t="shared" si="19"/>
        <v>-1330.637999999999</v>
      </c>
      <c r="R620" t="str">
        <f>IF( Table1[[#This Row],[Total Amount after sale]] &gt; 0,"PROFIT","LOSS")</f>
        <v>LOSS</v>
      </c>
      <c r="S620" s="3">
        <f>(Table1[[#This Row],[Total Amount after sale]]/Table1[[#This Row],[Price after discount]])</f>
        <v>-8.8415883254499242E-2</v>
      </c>
    </row>
    <row r="621" spans="1:19" x14ac:dyDescent="0.3">
      <c r="A621">
        <v>1074</v>
      </c>
      <c r="B621" s="1">
        <v>45153</v>
      </c>
      <c r="C621" s="1">
        <f>DATE(YEAR(Table1[[#This Row],[Sale_Date]]), MONTH(Table1[[#This Row],[Sale_Date]]), 1)</f>
        <v>45139</v>
      </c>
      <c r="D621" t="s">
        <v>24</v>
      </c>
      <c r="E621" t="s">
        <v>21</v>
      </c>
      <c r="F621" s="2">
        <v>289.38</v>
      </c>
      <c r="G621">
        <v>29</v>
      </c>
      <c r="H621" t="s">
        <v>16</v>
      </c>
      <c r="I621" s="2">
        <v>1723.01</v>
      </c>
      <c r="J621" s="2">
        <v>2197.42</v>
      </c>
      <c r="K621" t="s">
        <v>30</v>
      </c>
      <c r="L621" s="5">
        <v>7.0000000000000007E-2</v>
      </c>
      <c r="M621" t="s">
        <v>27</v>
      </c>
      <c r="N621" t="s">
        <v>22</v>
      </c>
      <c r="O621" t="s">
        <v>47</v>
      </c>
      <c r="P621" s="4">
        <f t="shared" si="18"/>
        <v>59264.417399999998</v>
      </c>
      <c r="Q621" s="4">
        <f t="shared" si="19"/>
        <v>9297.1273999999994</v>
      </c>
      <c r="R621" t="str">
        <f>IF( Table1[[#This Row],[Total Amount after sale]] &gt; 0,"PROFIT","LOSS")</f>
        <v>PROFIT</v>
      </c>
      <c r="S621" s="3">
        <f>(Table1[[#This Row],[Total Amount after sale]]/Table1[[#This Row],[Price after discount]])</f>
        <v>0.15687536987413295</v>
      </c>
    </row>
    <row r="622" spans="1:19" x14ac:dyDescent="0.3">
      <c r="A622">
        <v>1075</v>
      </c>
      <c r="B622" s="1">
        <v>45153</v>
      </c>
      <c r="C622" s="1">
        <f>DATE(YEAR(Table1[[#This Row],[Sale_Date]]), MONTH(Table1[[#This Row],[Sale_Date]]), 1)</f>
        <v>45139</v>
      </c>
      <c r="D622" t="s">
        <v>33</v>
      </c>
      <c r="E622" t="s">
        <v>15</v>
      </c>
      <c r="F622" s="2">
        <v>9972.11</v>
      </c>
      <c r="G622">
        <v>28</v>
      </c>
      <c r="H622" t="s">
        <v>29</v>
      </c>
      <c r="I622" s="2">
        <v>2570.2199999999998</v>
      </c>
      <c r="J622" s="2">
        <v>2610.8399999999901</v>
      </c>
      <c r="K622" t="s">
        <v>17</v>
      </c>
      <c r="L622" s="5">
        <v>0.27</v>
      </c>
      <c r="M622" t="s">
        <v>27</v>
      </c>
      <c r="N622" t="s">
        <v>22</v>
      </c>
      <c r="O622" t="s">
        <v>53</v>
      </c>
      <c r="P622" s="4">
        <f t="shared" si="18"/>
        <v>53365.569599999799</v>
      </c>
      <c r="Q622" s="4">
        <f t="shared" si="19"/>
        <v>-18600.590400000197</v>
      </c>
      <c r="R622" t="str">
        <f>IF( Table1[[#This Row],[Total Amount after sale]] &gt; 0,"PROFIT","LOSS")</f>
        <v>LOSS</v>
      </c>
      <c r="S622" s="3">
        <f>(Table1[[#This Row],[Total Amount after sale]]/Table1[[#This Row],[Price after discount]])</f>
        <v>-0.34855039568434154</v>
      </c>
    </row>
    <row r="623" spans="1:19" x14ac:dyDescent="0.3">
      <c r="A623">
        <v>1033</v>
      </c>
      <c r="B623" s="1">
        <v>45153</v>
      </c>
      <c r="C623" s="1">
        <f>DATE(YEAR(Table1[[#This Row],[Sale_Date]]), MONTH(Table1[[#This Row],[Sale_Date]]), 1)</f>
        <v>45139</v>
      </c>
      <c r="D623" t="s">
        <v>38</v>
      </c>
      <c r="E623" t="s">
        <v>34</v>
      </c>
      <c r="F623" s="2">
        <v>3953.38</v>
      </c>
      <c r="G623">
        <v>29</v>
      </c>
      <c r="H623" t="s">
        <v>29</v>
      </c>
      <c r="I623" s="2">
        <v>1412.09</v>
      </c>
      <c r="J623" s="2">
        <v>1596.6499999999901</v>
      </c>
      <c r="K623" t="s">
        <v>17</v>
      </c>
      <c r="L623" s="5">
        <v>7.0000000000000007E-2</v>
      </c>
      <c r="M623" t="s">
        <v>18</v>
      </c>
      <c r="N623" t="s">
        <v>19</v>
      </c>
      <c r="O623" t="s">
        <v>48</v>
      </c>
      <c r="P623" s="4">
        <f t="shared" si="18"/>
        <v>43061.650499999734</v>
      </c>
      <c r="Q623" s="4">
        <f t="shared" si="19"/>
        <v>2111.0404999997354</v>
      </c>
      <c r="R623" t="str">
        <f>IF( Table1[[#This Row],[Total Amount after sale]] &gt; 0,"PROFIT","LOSS")</f>
        <v>PROFIT</v>
      </c>
      <c r="S623" s="3">
        <f>(Table1[[#This Row],[Total Amount after sale]]/Table1[[#This Row],[Price after discount]])</f>
        <v>4.9023678272614016E-2</v>
      </c>
    </row>
    <row r="624" spans="1:19" x14ac:dyDescent="0.3">
      <c r="A624">
        <v>1059</v>
      </c>
      <c r="B624" s="1">
        <v>45154</v>
      </c>
      <c r="C624" s="1">
        <f>DATE(YEAR(Table1[[#This Row],[Sale_Date]]), MONTH(Table1[[#This Row],[Sale_Date]]), 1)</f>
        <v>45139</v>
      </c>
      <c r="D624" t="s">
        <v>42</v>
      </c>
      <c r="E624" t="s">
        <v>21</v>
      </c>
      <c r="F624" s="2">
        <v>3634.59</v>
      </c>
      <c r="G624">
        <v>21</v>
      </c>
      <c r="H624" t="s">
        <v>29</v>
      </c>
      <c r="I624" s="2">
        <v>3110.54</v>
      </c>
      <c r="J624" s="2">
        <v>3192.99</v>
      </c>
      <c r="K624" t="s">
        <v>30</v>
      </c>
      <c r="L624" s="5">
        <v>0.17</v>
      </c>
      <c r="M624" t="s">
        <v>31</v>
      </c>
      <c r="N624" t="s">
        <v>19</v>
      </c>
      <c r="O624" t="s">
        <v>51</v>
      </c>
      <c r="P624" s="4">
        <f t="shared" si="18"/>
        <v>55653.815699999992</v>
      </c>
      <c r="Q624" s="4">
        <f t="shared" si="19"/>
        <v>-9667.5243000000064</v>
      </c>
      <c r="R624" t="str">
        <f>IF( Table1[[#This Row],[Total Amount after sale]] &gt; 0,"PROFIT","LOSS")</f>
        <v>LOSS</v>
      </c>
      <c r="S624" s="3">
        <f>(Table1[[#This Row],[Total Amount after sale]]/Table1[[#This Row],[Price after discount]])</f>
        <v>-0.1737082027243643</v>
      </c>
    </row>
    <row r="625" spans="1:19" x14ac:dyDescent="0.3">
      <c r="A625">
        <v>1014</v>
      </c>
      <c r="B625" s="1">
        <v>45154</v>
      </c>
      <c r="C625" s="1">
        <f>DATE(YEAR(Table1[[#This Row],[Sale_Date]]), MONTH(Table1[[#This Row],[Sale_Date]]), 1)</f>
        <v>45139</v>
      </c>
      <c r="D625" t="s">
        <v>24</v>
      </c>
      <c r="E625" t="s">
        <v>25</v>
      </c>
      <c r="F625" s="2">
        <v>8983.92</v>
      </c>
      <c r="G625">
        <v>26</v>
      </c>
      <c r="H625" t="s">
        <v>16</v>
      </c>
      <c r="I625" s="2">
        <v>433.19</v>
      </c>
      <c r="J625" s="2">
        <v>800.6</v>
      </c>
      <c r="K625" t="s">
        <v>17</v>
      </c>
      <c r="L625" s="5">
        <v>0.2</v>
      </c>
      <c r="M625" t="s">
        <v>18</v>
      </c>
      <c r="N625" t="s">
        <v>19</v>
      </c>
      <c r="O625" t="s">
        <v>28</v>
      </c>
      <c r="P625" s="4">
        <f t="shared" si="18"/>
        <v>16652.48</v>
      </c>
      <c r="Q625" s="4">
        <f t="shared" si="19"/>
        <v>5389.5400000000009</v>
      </c>
      <c r="R625" t="str">
        <f>IF( Table1[[#This Row],[Total Amount after sale]] &gt; 0,"PROFIT","LOSS")</f>
        <v>PROFIT</v>
      </c>
      <c r="S625" s="3">
        <f>(Table1[[#This Row],[Total Amount after sale]]/Table1[[#This Row],[Price after discount]])</f>
        <v>0.32364788908318765</v>
      </c>
    </row>
    <row r="626" spans="1:19" x14ac:dyDescent="0.3">
      <c r="A626">
        <v>1086</v>
      </c>
      <c r="B626" s="1">
        <v>45154</v>
      </c>
      <c r="C626" s="1">
        <f>DATE(YEAR(Table1[[#This Row],[Sale_Date]]), MONTH(Table1[[#This Row],[Sale_Date]]), 1)</f>
        <v>45139</v>
      </c>
      <c r="D626" t="s">
        <v>42</v>
      </c>
      <c r="E626" t="s">
        <v>34</v>
      </c>
      <c r="F626" s="2">
        <v>4923.93</v>
      </c>
      <c r="G626">
        <v>48</v>
      </c>
      <c r="H626" t="s">
        <v>26</v>
      </c>
      <c r="I626" s="2">
        <v>2632.58</v>
      </c>
      <c r="J626" s="2">
        <v>2926.68</v>
      </c>
      <c r="K626" t="s">
        <v>17</v>
      </c>
      <c r="L626" s="5">
        <v>0.14000000000000001</v>
      </c>
      <c r="M626" t="s">
        <v>18</v>
      </c>
      <c r="N626" t="s">
        <v>19</v>
      </c>
      <c r="O626" t="s">
        <v>52</v>
      </c>
      <c r="P626" s="4">
        <f t="shared" si="18"/>
        <v>120813.3504</v>
      </c>
      <c r="Q626" s="4">
        <f t="shared" si="19"/>
        <v>-5550.4896000000081</v>
      </c>
      <c r="R626" t="str">
        <f>IF( Table1[[#This Row],[Total Amount after sale]] &gt; 0,"PROFIT","LOSS")</f>
        <v>LOSS</v>
      </c>
      <c r="S626" s="3">
        <f>(Table1[[#This Row],[Total Amount after sale]]/Table1[[#This Row],[Price after discount]])</f>
        <v>-4.5942684162163655E-2</v>
      </c>
    </row>
    <row r="627" spans="1:19" x14ac:dyDescent="0.3">
      <c r="A627">
        <v>1022</v>
      </c>
      <c r="B627" s="1">
        <v>45155</v>
      </c>
      <c r="C627" s="1">
        <f>DATE(YEAR(Table1[[#This Row],[Sale_Date]]), MONTH(Table1[[#This Row],[Sale_Date]]), 1)</f>
        <v>45139</v>
      </c>
      <c r="D627" t="s">
        <v>33</v>
      </c>
      <c r="E627" t="s">
        <v>25</v>
      </c>
      <c r="F627" s="2">
        <v>8813.5499999999993</v>
      </c>
      <c r="G627">
        <v>21</v>
      </c>
      <c r="H627" t="s">
        <v>26</v>
      </c>
      <c r="I627" s="2">
        <v>2537.1999999999998</v>
      </c>
      <c r="J627" s="2">
        <v>2869.6</v>
      </c>
      <c r="K627" t="s">
        <v>30</v>
      </c>
      <c r="L627" s="5">
        <v>0.28999999999999998</v>
      </c>
      <c r="M627" t="s">
        <v>27</v>
      </c>
      <c r="N627" t="s">
        <v>22</v>
      </c>
      <c r="O627" t="s">
        <v>44</v>
      </c>
      <c r="P627" s="4">
        <f t="shared" si="18"/>
        <v>42785.735999999997</v>
      </c>
      <c r="Q627" s="4">
        <f t="shared" si="19"/>
        <v>-10495.463999999998</v>
      </c>
      <c r="R627" t="str">
        <f>IF( Table1[[#This Row],[Total Amount after sale]] &gt; 0,"PROFIT","LOSS")</f>
        <v>LOSS</v>
      </c>
      <c r="S627" s="3">
        <f>(Table1[[#This Row],[Total Amount after sale]]/Table1[[#This Row],[Price after discount]])</f>
        <v>-0.245302873836271</v>
      </c>
    </row>
    <row r="628" spans="1:19" x14ac:dyDescent="0.3">
      <c r="A628">
        <v>1060</v>
      </c>
      <c r="B628" s="1">
        <v>45155</v>
      </c>
      <c r="C628" s="1">
        <f>DATE(YEAR(Table1[[#This Row],[Sale_Date]]), MONTH(Table1[[#This Row],[Sale_Date]]), 1)</f>
        <v>45139</v>
      </c>
      <c r="D628" t="s">
        <v>14</v>
      </c>
      <c r="E628" t="s">
        <v>34</v>
      </c>
      <c r="F628" s="2">
        <v>8371.25</v>
      </c>
      <c r="G628">
        <v>16</v>
      </c>
      <c r="H628" t="s">
        <v>29</v>
      </c>
      <c r="I628" s="2">
        <v>3975.99</v>
      </c>
      <c r="J628" s="2">
        <v>4422.59</v>
      </c>
      <c r="K628" t="s">
        <v>30</v>
      </c>
      <c r="L628" s="5">
        <v>0.24</v>
      </c>
      <c r="M628" t="s">
        <v>18</v>
      </c>
      <c r="N628" t="s">
        <v>19</v>
      </c>
      <c r="O628" t="s">
        <v>46</v>
      </c>
      <c r="P628" s="4">
        <f t="shared" si="18"/>
        <v>53778.6944</v>
      </c>
      <c r="Q628" s="4">
        <f t="shared" si="19"/>
        <v>-9837.1455999999962</v>
      </c>
      <c r="R628" t="str">
        <f>IF( Table1[[#This Row],[Total Amount after sale]] &gt; 0,"PROFIT","LOSS")</f>
        <v>LOSS</v>
      </c>
      <c r="S628" s="3">
        <f>(Table1[[#This Row],[Total Amount after sale]]/Table1[[#This Row],[Price after discount]])</f>
        <v>-0.18291901113910264</v>
      </c>
    </row>
    <row r="629" spans="1:19" x14ac:dyDescent="0.3">
      <c r="A629">
        <v>1009</v>
      </c>
      <c r="B629" s="1">
        <v>45155</v>
      </c>
      <c r="C629" s="1">
        <f>DATE(YEAR(Table1[[#This Row],[Sale_Date]]), MONTH(Table1[[#This Row],[Sale_Date]]), 1)</f>
        <v>45139</v>
      </c>
      <c r="D629" t="s">
        <v>14</v>
      </c>
      <c r="E629" t="s">
        <v>21</v>
      </c>
      <c r="F629" s="2">
        <v>8912.4</v>
      </c>
      <c r="G629">
        <v>33</v>
      </c>
      <c r="H629" t="s">
        <v>29</v>
      </c>
      <c r="I629" s="2">
        <v>450.72</v>
      </c>
      <c r="J629" s="2">
        <v>918.17</v>
      </c>
      <c r="K629" t="s">
        <v>17</v>
      </c>
      <c r="L629" s="5">
        <v>0.11</v>
      </c>
      <c r="M629" t="s">
        <v>18</v>
      </c>
      <c r="N629" t="s">
        <v>19</v>
      </c>
      <c r="O629" t="s">
        <v>23</v>
      </c>
      <c r="P629" s="4">
        <f t="shared" si="18"/>
        <v>26966.652900000001</v>
      </c>
      <c r="Q629" s="4">
        <f t="shared" si="19"/>
        <v>12092.892899999999</v>
      </c>
      <c r="R629" t="str">
        <f>IF( Table1[[#This Row],[Total Amount after sale]] &gt; 0,"PROFIT","LOSS")</f>
        <v>PROFIT</v>
      </c>
      <c r="S629" s="3">
        <f>(Table1[[#This Row],[Total Amount after sale]]/Table1[[#This Row],[Price after discount]])</f>
        <v>0.44843877899285006</v>
      </c>
    </row>
    <row r="630" spans="1:19" x14ac:dyDescent="0.3">
      <c r="A630">
        <v>1007</v>
      </c>
      <c r="B630" s="1">
        <v>45155</v>
      </c>
      <c r="C630" s="1">
        <f>DATE(YEAR(Table1[[#This Row],[Sale_Date]]), MONTH(Table1[[#This Row],[Sale_Date]]), 1)</f>
        <v>45139</v>
      </c>
      <c r="D630" t="s">
        <v>38</v>
      </c>
      <c r="E630" t="s">
        <v>34</v>
      </c>
      <c r="F630" s="2">
        <v>2426.2399999999998</v>
      </c>
      <c r="G630">
        <v>16</v>
      </c>
      <c r="H630" t="s">
        <v>16</v>
      </c>
      <c r="I630" s="2">
        <v>4310.3100000000004</v>
      </c>
      <c r="J630" s="2">
        <v>4633.1000000000004</v>
      </c>
      <c r="K630" t="s">
        <v>30</v>
      </c>
      <c r="L630" s="5">
        <v>0.28000000000000003</v>
      </c>
      <c r="M630" t="s">
        <v>31</v>
      </c>
      <c r="N630" t="s">
        <v>22</v>
      </c>
      <c r="O630" t="s">
        <v>48</v>
      </c>
      <c r="P630" s="4">
        <f t="shared" si="18"/>
        <v>53373.312000000005</v>
      </c>
      <c r="Q630" s="4">
        <f t="shared" si="19"/>
        <v>-15591.648000000001</v>
      </c>
      <c r="R630" t="str">
        <f>IF( Table1[[#This Row],[Total Amount after sale]] &gt; 0,"PROFIT","LOSS")</f>
        <v>LOSS</v>
      </c>
      <c r="S630" s="3">
        <f>(Table1[[#This Row],[Total Amount after sale]]/Table1[[#This Row],[Price after discount]])</f>
        <v>-0.29212442353212031</v>
      </c>
    </row>
    <row r="631" spans="1:19" x14ac:dyDescent="0.3">
      <c r="A631">
        <v>1016</v>
      </c>
      <c r="B631" s="1">
        <v>45155</v>
      </c>
      <c r="C631" s="1">
        <f>DATE(YEAR(Table1[[#This Row],[Sale_Date]]), MONTH(Table1[[#This Row],[Sale_Date]]), 1)</f>
        <v>45139</v>
      </c>
      <c r="D631" t="s">
        <v>38</v>
      </c>
      <c r="E631" t="s">
        <v>21</v>
      </c>
      <c r="F631" s="2">
        <v>777.74</v>
      </c>
      <c r="G631">
        <v>7</v>
      </c>
      <c r="H631" t="s">
        <v>26</v>
      </c>
      <c r="I631" s="2">
        <v>282.94</v>
      </c>
      <c r="J631" s="2">
        <v>779.32999999999902</v>
      </c>
      <c r="K631" t="s">
        <v>17</v>
      </c>
      <c r="L631" s="5">
        <v>0.28000000000000003</v>
      </c>
      <c r="M631" t="s">
        <v>31</v>
      </c>
      <c r="N631" t="s">
        <v>19</v>
      </c>
      <c r="O631" t="s">
        <v>41</v>
      </c>
      <c r="P631" s="4">
        <f t="shared" si="18"/>
        <v>3927.8231999999948</v>
      </c>
      <c r="Q631" s="4">
        <f t="shared" si="19"/>
        <v>1947.2431999999947</v>
      </c>
      <c r="R631" t="str">
        <f>IF( Table1[[#This Row],[Total Amount after sale]] &gt; 0,"PROFIT","LOSS")</f>
        <v>PROFIT</v>
      </c>
      <c r="S631" s="3">
        <f>(Table1[[#This Row],[Total Amount after sale]]/Table1[[#This Row],[Price after discount]])</f>
        <v>0.49575632630307731</v>
      </c>
    </row>
    <row r="632" spans="1:19" x14ac:dyDescent="0.3">
      <c r="A632">
        <v>1090</v>
      </c>
      <c r="B632" s="1">
        <v>45157</v>
      </c>
      <c r="C632" s="1">
        <f>DATE(YEAR(Table1[[#This Row],[Sale_Date]]), MONTH(Table1[[#This Row],[Sale_Date]]), 1)</f>
        <v>45139</v>
      </c>
      <c r="D632" t="s">
        <v>14</v>
      </c>
      <c r="E632" t="s">
        <v>21</v>
      </c>
      <c r="F632" s="2">
        <v>9088.2000000000007</v>
      </c>
      <c r="G632">
        <v>31</v>
      </c>
      <c r="H632" t="s">
        <v>29</v>
      </c>
      <c r="I632" s="2">
        <v>2347.81</v>
      </c>
      <c r="J632" s="2">
        <v>2668.02</v>
      </c>
      <c r="K632" t="s">
        <v>17</v>
      </c>
      <c r="L632" s="5">
        <v>0.09</v>
      </c>
      <c r="M632" t="s">
        <v>27</v>
      </c>
      <c r="N632" t="s">
        <v>22</v>
      </c>
      <c r="O632" t="s">
        <v>23</v>
      </c>
      <c r="P632" s="4">
        <f t="shared" si="18"/>
        <v>75264.844200000007</v>
      </c>
      <c r="Q632" s="4">
        <f t="shared" si="19"/>
        <v>2482.7342000000044</v>
      </c>
      <c r="R632" t="str">
        <f>IF( Table1[[#This Row],[Total Amount after sale]] &gt; 0,"PROFIT","LOSS")</f>
        <v>PROFIT</v>
      </c>
      <c r="S632" s="3">
        <f>(Table1[[#This Row],[Total Amount after sale]]/Table1[[#This Row],[Price after discount]])</f>
        <v>3.2986638401890214E-2</v>
      </c>
    </row>
    <row r="633" spans="1:19" x14ac:dyDescent="0.3">
      <c r="A633">
        <v>1005</v>
      </c>
      <c r="B633" s="1">
        <v>45158</v>
      </c>
      <c r="C633" s="1">
        <f>DATE(YEAR(Table1[[#This Row],[Sale_Date]]), MONTH(Table1[[#This Row],[Sale_Date]]), 1)</f>
        <v>45139</v>
      </c>
      <c r="D633" t="s">
        <v>14</v>
      </c>
      <c r="E633" t="s">
        <v>15</v>
      </c>
      <c r="F633" s="2">
        <v>4400.59</v>
      </c>
      <c r="G633">
        <v>21</v>
      </c>
      <c r="H633" t="s">
        <v>26</v>
      </c>
      <c r="I633" s="2">
        <v>4376.37</v>
      </c>
      <c r="J633" s="2">
        <v>4818.95</v>
      </c>
      <c r="K633" t="s">
        <v>30</v>
      </c>
      <c r="L633" s="5">
        <v>0</v>
      </c>
      <c r="M633" t="s">
        <v>31</v>
      </c>
      <c r="N633" t="s">
        <v>22</v>
      </c>
      <c r="O633" t="s">
        <v>20</v>
      </c>
      <c r="P633" s="4">
        <f t="shared" si="18"/>
        <v>101197.95</v>
      </c>
      <c r="Q633" s="4">
        <f t="shared" si="19"/>
        <v>9294.1799999999985</v>
      </c>
      <c r="R633" t="str">
        <f>IF( Table1[[#This Row],[Total Amount after sale]] &gt; 0,"PROFIT","LOSS")</f>
        <v>PROFIT</v>
      </c>
      <c r="S633" s="3">
        <f>(Table1[[#This Row],[Total Amount after sale]]/Table1[[#This Row],[Price after discount]])</f>
        <v>9.1841583747496847E-2</v>
      </c>
    </row>
    <row r="634" spans="1:19" x14ac:dyDescent="0.3">
      <c r="A634">
        <v>1072</v>
      </c>
      <c r="B634" s="1">
        <v>45159</v>
      </c>
      <c r="C634" s="1">
        <f>DATE(YEAR(Table1[[#This Row],[Sale_Date]]), MONTH(Table1[[#This Row],[Sale_Date]]), 1)</f>
        <v>45139</v>
      </c>
      <c r="D634" t="s">
        <v>42</v>
      </c>
      <c r="E634" t="s">
        <v>21</v>
      </c>
      <c r="F634" s="2">
        <v>8271.6200000000008</v>
      </c>
      <c r="G634">
        <v>12</v>
      </c>
      <c r="H634" t="s">
        <v>29</v>
      </c>
      <c r="I634" s="2">
        <v>710.99</v>
      </c>
      <c r="J634" s="2">
        <v>876.46</v>
      </c>
      <c r="K634" t="s">
        <v>17</v>
      </c>
      <c r="L634" s="5">
        <v>0.03</v>
      </c>
      <c r="M634" t="s">
        <v>31</v>
      </c>
      <c r="N634" t="s">
        <v>19</v>
      </c>
      <c r="O634" t="s">
        <v>51</v>
      </c>
      <c r="P634" s="4">
        <f t="shared" si="18"/>
        <v>10201.9944</v>
      </c>
      <c r="Q634" s="4">
        <f t="shared" si="19"/>
        <v>1670.1143999999999</v>
      </c>
      <c r="R634" t="str">
        <f>IF( Table1[[#This Row],[Total Amount after sale]] &gt; 0,"PROFIT","LOSS")</f>
        <v>PROFIT</v>
      </c>
      <c r="S634" s="3">
        <f>(Table1[[#This Row],[Total Amount after sale]]/Table1[[#This Row],[Price after discount]])</f>
        <v>0.16370469679928465</v>
      </c>
    </row>
    <row r="635" spans="1:19" x14ac:dyDescent="0.3">
      <c r="A635">
        <v>1050</v>
      </c>
      <c r="B635" s="1">
        <v>45159</v>
      </c>
      <c r="C635" s="1">
        <f>DATE(YEAR(Table1[[#This Row],[Sale_Date]]), MONTH(Table1[[#This Row],[Sale_Date]]), 1)</f>
        <v>45139</v>
      </c>
      <c r="D635" t="s">
        <v>24</v>
      </c>
      <c r="E635" t="s">
        <v>15</v>
      </c>
      <c r="F635" s="2">
        <v>9976.52</v>
      </c>
      <c r="G635">
        <v>17</v>
      </c>
      <c r="H635" t="s">
        <v>16</v>
      </c>
      <c r="I635" s="2">
        <v>2346.8000000000002</v>
      </c>
      <c r="J635" s="2">
        <v>2654.65</v>
      </c>
      <c r="K635" t="s">
        <v>30</v>
      </c>
      <c r="L635" s="5">
        <v>0.13</v>
      </c>
      <c r="M635" t="s">
        <v>18</v>
      </c>
      <c r="N635" t="s">
        <v>22</v>
      </c>
      <c r="O635" t="s">
        <v>45</v>
      </c>
      <c r="P635" s="4">
        <f t="shared" si="18"/>
        <v>39262.273500000003</v>
      </c>
      <c r="Q635" s="4">
        <f t="shared" si="19"/>
        <v>-633.32650000000012</v>
      </c>
      <c r="R635" t="str">
        <f>IF( Table1[[#This Row],[Total Amount after sale]] &gt; 0,"PROFIT","LOSS")</f>
        <v>LOSS</v>
      </c>
      <c r="S635" s="3">
        <f>(Table1[[#This Row],[Total Amount after sale]]/Table1[[#This Row],[Price after discount]])</f>
        <v>-1.6130662937794471E-2</v>
      </c>
    </row>
    <row r="636" spans="1:19" x14ac:dyDescent="0.3">
      <c r="A636">
        <v>1080</v>
      </c>
      <c r="B636" s="1">
        <v>45159</v>
      </c>
      <c r="C636" s="1">
        <f>DATE(YEAR(Table1[[#This Row],[Sale_Date]]), MONTH(Table1[[#This Row],[Sale_Date]]), 1)</f>
        <v>45139</v>
      </c>
      <c r="D636" t="s">
        <v>24</v>
      </c>
      <c r="E636" t="s">
        <v>25</v>
      </c>
      <c r="F636" s="2">
        <v>5677.74</v>
      </c>
      <c r="G636">
        <v>12</v>
      </c>
      <c r="H636" t="s">
        <v>35</v>
      </c>
      <c r="I636" s="2">
        <v>2316.13</v>
      </c>
      <c r="J636" s="2">
        <v>2525.27</v>
      </c>
      <c r="K636" t="s">
        <v>17</v>
      </c>
      <c r="L636" s="5">
        <v>0.12</v>
      </c>
      <c r="M636" t="s">
        <v>31</v>
      </c>
      <c r="N636" t="s">
        <v>22</v>
      </c>
      <c r="O636" t="s">
        <v>28</v>
      </c>
      <c r="P636" s="4">
        <f t="shared" si="18"/>
        <v>26666.851199999997</v>
      </c>
      <c r="Q636" s="4">
        <f t="shared" si="19"/>
        <v>-1126.7088000000022</v>
      </c>
      <c r="R636" t="str">
        <f>IF( Table1[[#This Row],[Total Amount after sale]] &gt; 0,"PROFIT","LOSS")</f>
        <v>LOSS</v>
      </c>
      <c r="S636" s="3">
        <f>(Table1[[#This Row],[Total Amount after sale]]/Table1[[#This Row],[Price after discount]])</f>
        <v>-4.2251287621089748E-2</v>
      </c>
    </row>
    <row r="637" spans="1:19" x14ac:dyDescent="0.3">
      <c r="A637">
        <v>1092</v>
      </c>
      <c r="B637" s="1">
        <v>45160</v>
      </c>
      <c r="C637" s="1">
        <f>DATE(YEAR(Table1[[#This Row],[Sale_Date]]), MONTH(Table1[[#This Row],[Sale_Date]]), 1)</f>
        <v>45139</v>
      </c>
      <c r="D637" t="s">
        <v>24</v>
      </c>
      <c r="E637" t="s">
        <v>34</v>
      </c>
      <c r="F637" s="2">
        <v>6250.8</v>
      </c>
      <c r="G637">
        <v>29</v>
      </c>
      <c r="H637" t="s">
        <v>29</v>
      </c>
      <c r="I637" s="2">
        <v>1742.24</v>
      </c>
      <c r="J637" s="2">
        <v>2070.52</v>
      </c>
      <c r="K637" t="s">
        <v>30</v>
      </c>
      <c r="L637" s="5">
        <v>0.12</v>
      </c>
      <c r="M637" t="s">
        <v>18</v>
      </c>
      <c r="N637" t="s">
        <v>19</v>
      </c>
      <c r="O637" t="s">
        <v>50</v>
      </c>
      <c r="P637" s="4">
        <f t="shared" si="18"/>
        <v>52839.670400000003</v>
      </c>
      <c r="Q637" s="4">
        <f t="shared" si="19"/>
        <v>2314.7104000000027</v>
      </c>
      <c r="R637" t="str">
        <f>IF( Table1[[#This Row],[Total Amount after sale]] &gt; 0,"PROFIT","LOSS")</f>
        <v>PROFIT</v>
      </c>
      <c r="S637" s="3">
        <f>(Table1[[#This Row],[Total Amount after sale]]/Table1[[#This Row],[Price after discount]])</f>
        <v>4.3806298988572086E-2</v>
      </c>
    </row>
    <row r="638" spans="1:19" x14ac:dyDescent="0.3">
      <c r="A638">
        <v>1027</v>
      </c>
      <c r="B638" s="1">
        <v>45161</v>
      </c>
      <c r="C638" s="1">
        <f>DATE(YEAR(Table1[[#This Row],[Sale_Date]]), MONTH(Table1[[#This Row],[Sale_Date]]), 1)</f>
        <v>45139</v>
      </c>
      <c r="D638" t="s">
        <v>14</v>
      </c>
      <c r="E638" t="s">
        <v>34</v>
      </c>
      <c r="F638" s="2">
        <v>4036.36</v>
      </c>
      <c r="G638">
        <v>4</v>
      </c>
      <c r="H638" t="s">
        <v>35</v>
      </c>
      <c r="I638" s="2">
        <v>282.61</v>
      </c>
      <c r="J638" s="2">
        <v>548.25</v>
      </c>
      <c r="K638" t="s">
        <v>30</v>
      </c>
      <c r="L638" s="5">
        <v>0.17</v>
      </c>
      <c r="M638" t="s">
        <v>31</v>
      </c>
      <c r="N638" t="s">
        <v>19</v>
      </c>
      <c r="O638" t="s">
        <v>46</v>
      </c>
      <c r="P638" s="4">
        <f t="shared" si="18"/>
        <v>1820.1899999999998</v>
      </c>
      <c r="Q638" s="4">
        <f t="shared" si="19"/>
        <v>689.74999999999977</v>
      </c>
      <c r="R638" t="str">
        <f>IF( Table1[[#This Row],[Total Amount after sale]] &gt; 0,"PROFIT","LOSS")</f>
        <v>PROFIT</v>
      </c>
      <c r="S638" s="3">
        <f>(Table1[[#This Row],[Total Amount after sale]]/Table1[[#This Row],[Price after discount]])</f>
        <v>0.37894395640015593</v>
      </c>
    </row>
    <row r="639" spans="1:19" x14ac:dyDescent="0.3">
      <c r="A639">
        <v>1036</v>
      </c>
      <c r="B639" s="1">
        <v>45161</v>
      </c>
      <c r="C639" s="1">
        <f>DATE(YEAR(Table1[[#This Row],[Sale_Date]]), MONTH(Table1[[#This Row],[Sale_Date]]), 1)</f>
        <v>45139</v>
      </c>
      <c r="D639" t="s">
        <v>24</v>
      </c>
      <c r="E639" t="s">
        <v>34</v>
      </c>
      <c r="F639" s="2">
        <v>8167.9</v>
      </c>
      <c r="G639">
        <v>25</v>
      </c>
      <c r="H639" t="s">
        <v>26</v>
      </c>
      <c r="I639" s="2">
        <v>2520.9699999999998</v>
      </c>
      <c r="J639" s="2">
        <v>2707.1099999999901</v>
      </c>
      <c r="K639" t="s">
        <v>30</v>
      </c>
      <c r="L639" s="5">
        <v>0.25</v>
      </c>
      <c r="M639" t="s">
        <v>18</v>
      </c>
      <c r="N639" t="s">
        <v>22</v>
      </c>
      <c r="O639" t="s">
        <v>50</v>
      </c>
      <c r="P639" s="4">
        <f t="shared" si="18"/>
        <v>50758.312499999818</v>
      </c>
      <c r="Q639" s="4">
        <f t="shared" si="19"/>
        <v>-12265.937500000178</v>
      </c>
      <c r="R639" t="str">
        <f>IF( Table1[[#This Row],[Total Amount after sale]] &gt; 0,"PROFIT","LOSS")</f>
        <v>LOSS</v>
      </c>
      <c r="S639" s="3">
        <f>(Table1[[#This Row],[Total Amount after sale]]/Table1[[#This Row],[Price after discount]])</f>
        <v>-0.24165376853299098</v>
      </c>
    </row>
    <row r="640" spans="1:19" x14ac:dyDescent="0.3">
      <c r="A640">
        <v>1072</v>
      </c>
      <c r="B640" s="1">
        <v>45162</v>
      </c>
      <c r="C640" s="1">
        <f>DATE(YEAR(Table1[[#This Row],[Sale_Date]]), MONTH(Table1[[#This Row],[Sale_Date]]), 1)</f>
        <v>45139</v>
      </c>
      <c r="D640" t="s">
        <v>14</v>
      </c>
      <c r="E640" t="s">
        <v>25</v>
      </c>
      <c r="F640" s="2">
        <v>2167.94</v>
      </c>
      <c r="G640">
        <v>39</v>
      </c>
      <c r="H640" t="s">
        <v>29</v>
      </c>
      <c r="I640" s="2">
        <v>4330.03</v>
      </c>
      <c r="J640" s="2">
        <v>4467.75</v>
      </c>
      <c r="K640" t="s">
        <v>30</v>
      </c>
      <c r="L640" s="5">
        <v>0.02</v>
      </c>
      <c r="M640" t="s">
        <v>31</v>
      </c>
      <c r="N640" t="s">
        <v>22</v>
      </c>
      <c r="O640" t="s">
        <v>32</v>
      </c>
      <c r="P640" s="4">
        <f t="shared" si="18"/>
        <v>170757.40499999997</v>
      </c>
      <c r="Q640" s="4">
        <f t="shared" si="19"/>
        <v>1886.2349999999915</v>
      </c>
      <c r="R640" t="str">
        <f>IF( Table1[[#This Row],[Total Amount after sale]] &gt; 0,"PROFIT","LOSS")</f>
        <v>PROFIT</v>
      </c>
      <c r="S640" s="3">
        <f>(Table1[[#This Row],[Total Amount after sale]]/Table1[[#This Row],[Price after discount]])</f>
        <v>1.104628522552209E-2</v>
      </c>
    </row>
    <row r="641" spans="1:19" x14ac:dyDescent="0.3">
      <c r="A641">
        <v>1080</v>
      </c>
      <c r="B641" s="1">
        <v>45162</v>
      </c>
      <c r="C641" s="1">
        <f>DATE(YEAR(Table1[[#This Row],[Sale_Date]]), MONTH(Table1[[#This Row],[Sale_Date]]), 1)</f>
        <v>45139</v>
      </c>
      <c r="D641" t="s">
        <v>14</v>
      </c>
      <c r="E641" t="s">
        <v>21</v>
      </c>
      <c r="F641" s="2">
        <v>1493.95</v>
      </c>
      <c r="G641">
        <v>17</v>
      </c>
      <c r="H641" t="s">
        <v>16</v>
      </c>
      <c r="I641" s="2">
        <v>2742.67</v>
      </c>
      <c r="J641" s="2">
        <v>2979.64</v>
      </c>
      <c r="K641" t="s">
        <v>17</v>
      </c>
      <c r="L641" s="5">
        <v>0.01</v>
      </c>
      <c r="M641" t="s">
        <v>18</v>
      </c>
      <c r="N641" t="s">
        <v>22</v>
      </c>
      <c r="O641" t="s">
        <v>23</v>
      </c>
      <c r="P641" s="4">
        <f t="shared" si="18"/>
        <v>50147.341199999995</v>
      </c>
      <c r="Q641" s="4">
        <f t="shared" si="19"/>
        <v>3521.9511999999936</v>
      </c>
      <c r="R641" t="str">
        <f>IF( Table1[[#This Row],[Total Amount after sale]] &gt; 0,"PROFIT","LOSS")</f>
        <v>PROFIT</v>
      </c>
      <c r="S641" s="3">
        <f>(Table1[[#This Row],[Total Amount after sale]]/Table1[[#This Row],[Price after discount]])</f>
        <v>7.0232062472735723E-2</v>
      </c>
    </row>
    <row r="642" spans="1:19" x14ac:dyDescent="0.3">
      <c r="A642">
        <v>1075</v>
      </c>
      <c r="B642" s="1">
        <v>45162</v>
      </c>
      <c r="C642" s="1">
        <f>DATE(YEAR(Table1[[#This Row],[Sale_Date]]), MONTH(Table1[[#This Row],[Sale_Date]]), 1)</f>
        <v>45139</v>
      </c>
      <c r="D642" t="s">
        <v>33</v>
      </c>
      <c r="E642" t="s">
        <v>21</v>
      </c>
      <c r="F642" s="2">
        <v>2301.38</v>
      </c>
      <c r="G642">
        <v>42</v>
      </c>
      <c r="H642" t="s">
        <v>29</v>
      </c>
      <c r="I642" s="2">
        <v>967.77</v>
      </c>
      <c r="J642" s="2">
        <v>1414.88</v>
      </c>
      <c r="K642" t="s">
        <v>30</v>
      </c>
      <c r="L642" s="5">
        <v>0.17</v>
      </c>
      <c r="M642" t="s">
        <v>27</v>
      </c>
      <c r="N642" t="s">
        <v>19</v>
      </c>
      <c r="O642" t="s">
        <v>37</v>
      </c>
      <c r="P642" s="4">
        <f t="shared" ref="P642:P705" si="20" xml:space="preserve"> J642 * (1 - L642) * G642</f>
        <v>49322.716800000002</v>
      </c>
      <c r="Q642" s="4">
        <f t="shared" ref="Q642:Q705" si="21" xml:space="preserve"> (J642 * (1 - L642) - I642) * G642</f>
        <v>8676.3768000000018</v>
      </c>
      <c r="R642" t="str">
        <f>IF( Table1[[#This Row],[Total Amount after sale]] &gt; 0,"PROFIT","LOSS")</f>
        <v>PROFIT</v>
      </c>
      <c r="S642" s="3">
        <f>(Table1[[#This Row],[Total Amount after sale]]/Table1[[#This Row],[Price after discount]])</f>
        <v>0.17591035861187601</v>
      </c>
    </row>
    <row r="643" spans="1:19" x14ac:dyDescent="0.3">
      <c r="A643">
        <v>1089</v>
      </c>
      <c r="B643" s="1">
        <v>45162</v>
      </c>
      <c r="C643" s="1">
        <f>DATE(YEAR(Table1[[#This Row],[Sale_Date]]), MONTH(Table1[[#This Row],[Sale_Date]]), 1)</f>
        <v>45139</v>
      </c>
      <c r="D643" t="s">
        <v>38</v>
      </c>
      <c r="E643" t="s">
        <v>15</v>
      </c>
      <c r="F643" s="2">
        <v>2528.9899999999998</v>
      </c>
      <c r="G643">
        <v>4</v>
      </c>
      <c r="H643" t="s">
        <v>16</v>
      </c>
      <c r="I643" s="2">
        <v>4231.75</v>
      </c>
      <c r="J643" s="2">
        <v>4727.75</v>
      </c>
      <c r="K643" t="s">
        <v>17</v>
      </c>
      <c r="L643" s="5">
        <v>0.12</v>
      </c>
      <c r="M643" t="s">
        <v>31</v>
      </c>
      <c r="N643" t="s">
        <v>22</v>
      </c>
      <c r="O643" t="s">
        <v>40</v>
      </c>
      <c r="P643" s="4">
        <f t="shared" si="20"/>
        <v>16641.68</v>
      </c>
      <c r="Q643" s="4">
        <f t="shared" si="21"/>
        <v>-285.31999999999971</v>
      </c>
      <c r="R643" t="str">
        <f>IF( Table1[[#This Row],[Total Amount after sale]] &gt; 0,"PROFIT","LOSS")</f>
        <v>LOSS</v>
      </c>
      <c r="S643" s="3">
        <f>(Table1[[#This Row],[Total Amount after sale]]/Table1[[#This Row],[Price after discount]])</f>
        <v>-1.7144903639536375E-2</v>
      </c>
    </row>
    <row r="644" spans="1:19" x14ac:dyDescent="0.3">
      <c r="A644">
        <v>1095</v>
      </c>
      <c r="B644" s="1">
        <v>45162</v>
      </c>
      <c r="C644" s="1">
        <f>DATE(YEAR(Table1[[#This Row],[Sale_Date]]), MONTH(Table1[[#This Row],[Sale_Date]]), 1)</f>
        <v>45139</v>
      </c>
      <c r="D644" t="s">
        <v>14</v>
      </c>
      <c r="E644" t="s">
        <v>21</v>
      </c>
      <c r="F644" s="2">
        <v>2825.35</v>
      </c>
      <c r="G644">
        <v>20</v>
      </c>
      <c r="H644" t="s">
        <v>26</v>
      </c>
      <c r="I644" s="2">
        <v>729.27</v>
      </c>
      <c r="J644" s="2">
        <v>999.18</v>
      </c>
      <c r="K644" t="s">
        <v>30</v>
      </c>
      <c r="L644" s="5">
        <v>0.1</v>
      </c>
      <c r="M644" t="s">
        <v>27</v>
      </c>
      <c r="N644" t="s">
        <v>19</v>
      </c>
      <c r="O644" t="s">
        <v>23</v>
      </c>
      <c r="P644" s="4">
        <f t="shared" si="20"/>
        <v>17985.239999999998</v>
      </c>
      <c r="Q644" s="4">
        <f t="shared" si="21"/>
        <v>3399.8399999999992</v>
      </c>
      <c r="R644" t="str">
        <f>IF( Table1[[#This Row],[Total Amount after sale]] &gt; 0,"PROFIT","LOSS")</f>
        <v>PROFIT</v>
      </c>
      <c r="S644" s="3">
        <f>(Table1[[#This Row],[Total Amount after sale]]/Table1[[#This Row],[Price after discount]])</f>
        <v>0.18903500870713982</v>
      </c>
    </row>
    <row r="645" spans="1:19" x14ac:dyDescent="0.3">
      <c r="A645">
        <v>1079</v>
      </c>
      <c r="B645" s="1">
        <v>45162</v>
      </c>
      <c r="C645" s="1">
        <f>DATE(YEAR(Table1[[#This Row],[Sale_Date]]), MONTH(Table1[[#This Row],[Sale_Date]]), 1)</f>
        <v>45139</v>
      </c>
      <c r="D645" t="s">
        <v>42</v>
      </c>
      <c r="E645" t="s">
        <v>15</v>
      </c>
      <c r="F645" s="2">
        <v>9972.66</v>
      </c>
      <c r="G645">
        <v>8</v>
      </c>
      <c r="H645" t="s">
        <v>29</v>
      </c>
      <c r="I645" s="2">
        <v>3808.23</v>
      </c>
      <c r="J645" s="2">
        <v>3891.62</v>
      </c>
      <c r="K645" t="s">
        <v>17</v>
      </c>
      <c r="L645" s="5">
        <v>0.26</v>
      </c>
      <c r="M645" t="s">
        <v>27</v>
      </c>
      <c r="N645" t="s">
        <v>19</v>
      </c>
      <c r="O645" t="s">
        <v>49</v>
      </c>
      <c r="P645" s="4">
        <f t="shared" si="20"/>
        <v>23038.3904</v>
      </c>
      <c r="Q645" s="4">
        <f t="shared" si="21"/>
        <v>-7427.4495999999999</v>
      </c>
      <c r="R645" t="str">
        <f>IF( Table1[[#This Row],[Total Amount after sale]] &gt; 0,"PROFIT","LOSS")</f>
        <v>LOSS</v>
      </c>
      <c r="S645" s="3">
        <f>(Table1[[#This Row],[Total Amount after sale]]/Table1[[#This Row],[Price after discount]])</f>
        <v>-0.3223944672801447</v>
      </c>
    </row>
    <row r="646" spans="1:19" x14ac:dyDescent="0.3">
      <c r="A646">
        <v>1041</v>
      </c>
      <c r="B646" s="1">
        <v>45163</v>
      </c>
      <c r="C646" s="1">
        <f>DATE(YEAR(Table1[[#This Row],[Sale_Date]]), MONTH(Table1[[#This Row],[Sale_Date]]), 1)</f>
        <v>45139</v>
      </c>
      <c r="D646" t="s">
        <v>14</v>
      </c>
      <c r="E646" t="s">
        <v>25</v>
      </c>
      <c r="F646" s="2">
        <v>854.77</v>
      </c>
      <c r="G646">
        <v>31</v>
      </c>
      <c r="H646" t="s">
        <v>26</v>
      </c>
      <c r="I646" s="2">
        <v>1604.52</v>
      </c>
      <c r="J646" s="2">
        <v>1756.34</v>
      </c>
      <c r="K646" t="s">
        <v>17</v>
      </c>
      <c r="L646" s="5">
        <v>0.17</v>
      </c>
      <c r="M646" t="s">
        <v>18</v>
      </c>
      <c r="N646" t="s">
        <v>22</v>
      </c>
      <c r="O646" t="s">
        <v>32</v>
      </c>
      <c r="P646" s="4">
        <f t="shared" si="20"/>
        <v>45190.628199999999</v>
      </c>
      <c r="Q646" s="4">
        <f t="shared" si="21"/>
        <v>-4549.4918000000025</v>
      </c>
      <c r="R646" t="str">
        <f>IF( Table1[[#This Row],[Total Amount after sale]] &gt; 0,"PROFIT","LOSS")</f>
        <v>LOSS</v>
      </c>
      <c r="S646" s="3">
        <f>(Table1[[#This Row],[Total Amount after sale]]/Table1[[#This Row],[Price after discount]])</f>
        <v>-0.1006733471343955</v>
      </c>
    </row>
    <row r="647" spans="1:19" x14ac:dyDescent="0.3">
      <c r="A647">
        <v>1024</v>
      </c>
      <c r="B647" s="1">
        <v>45163</v>
      </c>
      <c r="C647" s="1">
        <f>DATE(YEAR(Table1[[#This Row],[Sale_Date]]), MONTH(Table1[[#This Row],[Sale_Date]]), 1)</f>
        <v>45139</v>
      </c>
      <c r="D647" t="s">
        <v>24</v>
      </c>
      <c r="E647" t="s">
        <v>25</v>
      </c>
      <c r="F647" s="2">
        <v>1221.7</v>
      </c>
      <c r="G647">
        <v>42</v>
      </c>
      <c r="H647" t="s">
        <v>35</v>
      </c>
      <c r="I647" s="2">
        <v>1586.02</v>
      </c>
      <c r="J647" s="2">
        <v>2047.13</v>
      </c>
      <c r="K647" t="s">
        <v>30</v>
      </c>
      <c r="L647" s="5">
        <v>0.25</v>
      </c>
      <c r="M647" t="s">
        <v>18</v>
      </c>
      <c r="N647" t="s">
        <v>22</v>
      </c>
      <c r="O647" t="s">
        <v>28</v>
      </c>
      <c r="P647" s="4">
        <f t="shared" si="20"/>
        <v>64484.595000000001</v>
      </c>
      <c r="Q647" s="4">
        <f t="shared" si="21"/>
        <v>-2128.2449999999958</v>
      </c>
      <c r="R647" t="str">
        <f>IF( Table1[[#This Row],[Total Amount after sale]] &gt; 0,"PROFIT","LOSS")</f>
        <v>LOSS</v>
      </c>
      <c r="S647" s="3">
        <f>(Table1[[#This Row],[Total Amount after sale]]/Table1[[#This Row],[Price after discount]])</f>
        <v>-3.3003929077944832E-2</v>
      </c>
    </row>
    <row r="648" spans="1:19" x14ac:dyDescent="0.3">
      <c r="A648">
        <v>1032</v>
      </c>
      <c r="B648" s="1">
        <v>45163</v>
      </c>
      <c r="C648" s="1">
        <f>DATE(YEAR(Table1[[#This Row],[Sale_Date]]), MONTH(Table1[[#This Row],[Sale_Date]]), 1)</f>
        <v>45139</v>
      </c>
      <c r="D648" t="s">
        <v>14</v>
      </c>
      <c r="E648" t="s">
        <v>15</v>
      </c>
      <c r="F648" s="2">
        <v>8841.64</v>
      </c>
      <c r="G648">
        <v>23</v>
      </c>
      <c r="H648" t="s">
        <v>35</v>
      </c>
      <c r="I648" s="2">
        <v>4673.1899999999996</v>
      </c>
      <c r="J648" s="2">
        <v>4761.1799999999903</v>
      </c>
      <c r="K648" t="s">
        <v>17</v>
      </c>
      <c r="L648" s="5">
        <v>0.17</v>
      </c>
      <c r="M648" t="s">
        <v>31</v>
      </c>
      <c r="N648" t="s">
        <v>22</v>
      </c>
      <c r="O648" t="s">
        <v>20</v>
      </c>
      <c r="P648" s="4">
        <f t="shared" si="20"/>
        <v>90890.926199999813</v>
      </c>
      <c r="Q648" s="4">
        <f t="shared" si="21"/>
        <v>-16592.443800000183</v>
      </c>
      <c r="R648" t="str">
        <f>IF( Table1[[#This Row],[Total Amount after sale]] &gt; 0,"PROFIT","LOSS")</f>
        <v>LOSS</v>
      </c>
      <c r="S648" s="3">
        <f>(Table1[[#This Row],[Total Amount after sale]]/Table1[[#This Row],[Price after discount]])</f>
        <v>-0.18255335811508341</v>
      </c>
    </row>
    <row r="649" spans="1:19" x14ac:dyDescent="0.3">
      <c r="A649">
        <v>1072</v>
      </c>
      <c r="B649" s="1">
        <v>45163</v>
      </c>
      <c r="C649" s="1">
        <f>DATE(YEAR(Table1[[#This Row],[Sale_Date]]), MONTH(Table1[[#This Row],[Sale_Date]]), 1)</f>
        <v>45139</v>
      </c>
      <c r="D649" t="s">
        <v>33</v>
      </c>
      <c r="E649" t="s">
        <v>25</v>
      </c>
      <c r="F649" s="2">
        <v>2490.86</v>
      </c>
      <c r="G649">
        <v>12</v>
      </c>
      <c r="H649" t="s">
        <v>26</v>
      </c>
      <c r="I649" s="2">
        <v>1517.4</v>
      </c>
      <c r="J649" s="2">
        <v>1545.02</v>
      </c>
      <c r="K649" t="s">
        <v>30</v>
      </c>
      <c r="L649" s="5">
        <v>0.03</v>
      </c>
      <c r="M649" t="s">
        <v>27</v>
      </c>
      <c r="N649" t="s">
        <v>22</v>
      </c>
      <c r="O649" t="s">
        <v>44</v>
      </c>
      <c r="P649" s="4">
        <f t="shared" si="20"/>
        <v>17984.032800000001</v>
      </c>
      <c r="Q649" s="4">
        <f t="shared" si="21"/>
        <v>-224.76720000000114</v>
      </c>
      <c r="R649" t="str">
        <f>IF( Table1[[#This Row],[Total Amount after sale]] &gt; 0,"PROFIT","LOSS")</f>
        <v>LOSS</v>
      </c>
      <c r="S649" s="3">
        <f>(Table1[[#This Row],[Total Amount after sale]]/Table1[[#This Row],[Price after discount]])</f>
        <v>-1.2498153361908966E-2</v>
      </c>
    </row>
    <row r="650" spans="1:19" x14ac:dyDescent="0.3">
      <c r="A650">
        <v>1099</v>
      </c>
      <c r="B650" s="1">
        <v>45164</v>
      </c>
      <c r="C650" s="1">
        <f>DATE(YEAR(Table1[[#This Row],[Sale_Date]]), MONTH(Table1[[#This Row],[Sale_Date]]), 1)</f>
        <v>45139</v>
      </c>
      <c r="D650" t="s">
        <v>24</v>
      </c>
      <c r="E650" t="s">
        <v>21</v>
      </c>
      <c r="F650" s="2">
        <v>1934.18</v>
      </c>
      <c r="G650">
        <v>17</v>
      </c>
      <c r="H650" t="s">
        <v>26</v>
      </c>
      <c r="I650" s="2">
        <v>2471.73</v>
      </c>
      <c r="J650" s="2">
        <v>2568.73</v>
      </c>
      <c r="K650" t="s">
        <v>30</v>
      </c>
      <c r="L650" s="5">
        <v>0.05</v>
      </c>
      <c r="M650" t="s">
        <v>18</v>
      </c>
      <c r="N650" t="s">
        <v>22</v>
      </c>
      <c r="O650" t="s">
        <v>47</v>
      </c>
      <c r="P650" s="4">
        <f t="shared" si="20"/>
        <v>41484.989499999996</v>
      </c>
      <c r="Q650" s="4">
        <f t="shared" si="21"/>
        <v>-534.42050000000427</v>
      </c>
      <c r="R650" t="str">
        <f>IF( Table1[[#This Row],[Total Amount after sale]] &gt; 0,"PROFIT","LOSS")</f>
        <v>LOSS</v>
      </c>
      <c r="S650" s="3">
        <f>(Table1[[#This Row],[Total Amount after sale]]/Table1[[#This Row],[Price after discount]])</f>
        <v>-1.2882261908250075E-2</v>
      </c>
    </row>
    <row r="651" spans="1:19" x14ac:dyDescent="0.3">
      <c r="A651">
        <v>1008</v>
      </c>
      <c r="B651" s="1">
        <v>45165</v>
      </c>
      <c r="C651" s="1">
        <f>DATE(YEAR(Table1[[#This Row],[Sale_Date]]), MONTH(Table1[[#This Row],[Sale_Date]]), 1)</f>
        <v>45139</v>
      </c>
      <c r="D651" t="s">
        <v>24</v>
      </c>
      <c r="E651" t="s">
        <v>25</v>
      </c>
      <c r="F651" s="2">
        <v>4432.8500000000004</v>
      </c>
      <c r="G651">
        <v>40</v>
      </c>
      <c r="H651" t="s">
        <v>29</v>
      </c>
      <c r="I651" s="2">
        <v>2687.49</v>
      </c>
      <c r="J651" s="2">
        <v>3001.56</v>
      </c>
      <c r="K651" t="s">
        <v>17</v>
      </c>
      <c r="L651" s="5">
        <v>0.26</v>
      </c>
      <c r="M651" t="s">
        <v>27</v>
      </c>
      <c r="N651" t="s">
        <v>19</v>
      </c>
      <c r="O651" t="s">
        <v>28</v>
      </c>
      <c r="P651" s="4">
        <f t="shared" si="20"/>
        <v>88846.175999999992</v>
      </c>
      <c r="Q651" s="4">
        <f t="shared" si="21"/>
        <v>-18653.423999999995</v>
      </c>
      <c r="R651" t="str">
        <f>IF( Table1[[#This Row],[Total Amount after sale]] &gt; 0,"PROFIT","LOSS")</f>
        <v>LOSS</v>
      </c>
      <c r="S651" s="3">
        <f>(Table1[[#This Row],[Total Amount after sale]]/Table1[[#This Row],[Price after discount]])</f>
        <v>-0.20995190608991429</v>
      </c>
    </row>
    <row r="652" spans="1:19" x14ac:dyDescent="0.3">
      <c r="A652">
        <v>1019</v>
      </c>
      <c r="B652" s="1">
        <v>45165</v>
      </c>
      <c r="C652" s="1">
        <f>DATE(YEAR(Table1[[#This Row],[Sale_Date]]), MONTH(Table1[[#This Row],[Sale_Date]]), 1)</f>
        <v>45139</v>
      </c>
      <c r="D652" t="s">
        <v>33</v>
      </c>
      <c r="E652" t="s">
        <v>15</v>
      </c>
      <c r="F652" s="2">
        <v>2558.92</v>
      </c>
      <c r="G652">
        <v>18</v>
      </c>
      <c r="H652" t="s">
        <v>26</v>
      </c>
      <c r="I652" s="2">
        <v>3591.14</v>
      </c>
      <c r="J652" s="2">
        <v>3822.99</v>
      </c>
      <c r="K652" t="s">
        <v>17</v>
      </c>
      <c r="L652" s="5">
        <v>0.09</v>
      </c>
      <c r="M652" t="s">
        <v>31</v>
      </c>
      <c r="N652" t="s">
        <v>19</v>
      </c>
      <c r="O652" t="s">
        <v>53</v>
      </c>
      <c r="P652" s="4">
        <f t="shared" si="20"/>
        <v>62620.576200000003</v>
      </c>
      <c r="Q652" s="4">
        <f t="shared" si="21"/>
        <v>-2019.9437999999964</v>
      </c>
      <c r="R652" t="str">
        <f>IF( Table1[[#This Row],[Total Amount after sale]] &gt; 0,"PROFIT","LOSS")</f>
        <v>LOSS</v>
      </c>
      <c r="S652" s="3">
        <f>(Table1[[#This Row],[Total Amount after sale]]/Table1[[#This Row],[Price after discount]])</f>
        <v>-3.2256870226626821E-2</v>
      </c>
    </row>
    <row r="653" spans="1:19" x14ac:dyDescent="0.3">
      <c r="A653">
        <v>1021</v>
      </c>
      <c r="B653" s="1">
        <v>45165</v>
      </c>
      <c r="C653" s="1">
        <f>DATE(YEAR(Table1[[#This Row],[Sale_Date]]), MONTH(Table1[[#This Row],[Sale_Date]]), 1)</f>
        <v>45139</v>
      </c>
      <c r="D653" t="s">
        <v>38</v>
      </c>
      <c r="E653" t="s">
        <v>15</v>
      </c>
      <c r="F653" s="2">
        <v>671.55</v>
      </c>
      <c r="G653">
        <v>19</v>
      </c>
      <c r="H653" t="s">
        <v>29</v>
      </c>
      <c r="I653" s="2">
        <v>444.05</v>
      </c>
      <c r="J653" s="2">
        <v>584.44000000000005</v>
      </c>
      <c r="K653" t="s">
        <v>17</v>
      </c>
      <c r="L653" s="5">
        <v>0.28000000000000003</v>
      </c>
      <c r="M653" t="s">
        <v>18</v>
      </c>
      <c r="N653" t="s">
        <v>22</v>
      </c>
      <c r="O653" t="s">
        <v>40</v>
      </c>
      <c r="P653" s="4">
        <f t="shared" si="20"/>
        <v>7995.1392000000005</v>
      </c>
      <c r="Q653" s="4">
        <f t="shared" si="21"/>
        <v>-441.81079999999986</v>
      </c>
      <c r="R653" t="str">
        <f>IF( Table1[[#This Row],[Total Amount after sale]] &gt; 0,"PROFIT","LOSS")</f>
        <v>LOSS</v>
      </c>
      <c r="S653" s="3">
        <f>(Table1[[#This Row],[Total Amount after sale]]/Table1[[#This Row],[Price after discount]])</f>
        <v>-5.525992593099565E-2</v>
      </c>
    </row>
    <row r="654" spans="1:19" x14ac:dyDescent="0.3">
      <c r="A654">
        <v>1099</v>
      </c>
      <c r="B654" s="1">
        <v>45167</v>
      </c>
      <c r="C654" s="1">
        <f>DATE(YEAR(Table1[[#This Row],[Sale_Date]]), MONTH(Table1[[#This Row],[Sale_Date]]), 1)</f>
        <v>45139</v>
      </c>
      <c r="D654" t="s">
        <v>42</v>
      </c>
      <c r="E654" t="s">
        <v>21</v>
      </c>
      <c r="F654" s="2">
        <v>4567.8100000000004</v>
      </c>
      <c r="G654">
        <v>44</v>
      </c>
      <c r="H654" t="s">
        <v>29</v>
      </c>
      <c r="I654" s="2">
        <v>4933.1099999999997</v>
      </c>
      <c r="J654" s="2">
        <v>5245.86</v>
      </c>
      <c r="K654" t="s">
        <v>17</v>
      </c>
      <c r="L654" s="5">
        <v>0.13</v>
      </c>
      <c r="M654" t="s">
        <v>27</v>
      </c>
      <c r="N654" t="s">
        <v>22</v>
      </c>
      <c r="O654" t="s">
        <v>51</v>
      </c>
      <c r="P654" s="4">
        <f t="shared" si="20"/>
        <v>200811.5208</v>
      </c>
      <c r="Q654" s="4">
        <f t="shared" si="21"/>
        <v>-16245.319200000002</v>
      </c>
      <c r="R654" t="str">
        <f>IF( Table1[[#This Row],[Total Amount after sale]] &gt; 0,"PROFIT","LOSS")</f>
        <v>LOSS</v>
      </c>
      <c r="S654" s="3">
        <f>(Table1[[#This Row],[Total Amount after sale]]/Table1[[#This Row],[Price after discount]])</f>
        <v>-8.0898342561628575E-2</v>
      </c>
    </row>
    <row r="655" spans="1:19" x14ac:dyDescent="0.3">
      <c r="A655">
        <v>1042</v>
      </c>
      <c r="B655" s="1">
        <v>45167</v>
      </c>
      <c r="C655" s="1">
        <f>DATE(YEAR(Table1[[#This Row],[Sale_Date]]), MONTH(Table1[[#This Row],[Sale_Date]]), 1)</f>
        <v>45139</v>
      </c>
      <c r="D655" t="s">
        <v>38</v>
      </c>
      <c r="E655" t="s">
        <v>25</v>
      </c>
      <c r="F655" s="2">
        <v>3955.11</v>
      </c>
      <c r="G655">
        <v>27</v>
      </c>
      <c r="H655" t="s">
        <v>29</v>
      </c>
      <c r="I655" s="2">
        <v>1139.45</v>
      </c>
      <c r="J655" s="2">
        <v>1454.41</v>
      </c>
      <c r="K655" t="s">
        <v>17</v>
      </c>
      <c r="L655" s="5">
        <v>0.3</v>
      </c>
      <c r="M655" t="s">
        <v>27</v>
      </c>
      <c r="N655" t="s">
        <v>19</v>
      </c>
      <c r="O655" t="s">
        <v>39</v>
      </c>
      <c r="P655" s="4">
        <f t="shared" si="20"/>
        <v>27488.348999999998</v>
      </c>
      <c r="Q655" s="4">
        <f t="shared" si="21"/>
        <v>-3276.8010000000013</v>
      </c>
      <c r="R655" t="str">
        <f>IF( Table1[[#This Row],[Total Amount after sale]] &gt; 0,"PROFIT","LOSS")</f>
        <v>LOSS</v>
      </c>
      <c r="S655" s="3">
        <f>(Table1[[#This Row],[Total Amount after sale]]/Table1[[#This Row],[Price after discount]])</f>
        <v>-0.11920690471443016</v>
      </c>
    </row>
    <row r="656" spans="1:19" x14ac:dyDescent="0.3">
      <c r="A656">
        <v>1033</v>
      </c>
      <c r="B656" s="1">
        <v>45168</v>
      </c>
      <c r="C656" s="1">
        <f>DATE(YEAR(Table1[[#This Row],[Sale_Date]]), MONTH(Table1[[#This Row],[Sale_Date]]), 1)</f>
        <v>45139</v>
      </c>
      <c r="D656" t="s">
        <v>14</v>
      </c>
      <c r="E656" t="s">
        <v>34</v>
      </c>
      <c r="F656" s="2">
        <v>6577.99</v>
      </c>
      <c r="G656">
        <v>14</v>
      </c>
      <c r="H656" t="s">
        <v>26</v>
      </c>
      <c r="I656" s="2">
        <v>504.3</v>
      </c>
      <c r="J656" s="2">
        <v>735.95</v>
      </c>
      <c r="K656" t="s">
        <v>17</v>
      </c>
      <c r="L656" s="5">
        <v>0.21</v>
      </c>
      <c r="M656" t="s">
        <v>18</v>
      </c>
      <c r="N656" t="s">
        <v>22</v>
      </c>
      <c r="O656" t="s">
        <v>46</v>
      </c>
      <c r="P656" s="4">
        <f t="shared" si="20"/>
        <v>8139.6070000000009</v>
      </c>
      <c r="Q656" s="4">
        <f t="shared" si="21"/>
        <v>1079.4070000000011</v>
      </c>
      <c r="R656" t="str">
        <f>IF( Table1[[#This Row],[Total Amount after sale]] &gt; 0,"PROFIT","LOSS")</f>
        <v>PROFIT</v>
      </c>
      <c r="S656" s="3">
        <f>(Table1[[#This Row],[Total Amount after sale]]/Table1[[#This Row],[Price after discount]])</f>
        <v>0.13261168506047047</v>
      </c>
    </row>
    <row r="657" spans="1:19" x14ac:dyDescent="0.3">
      <c r="A657">
        <v>1077</v>
      </c>
      <c r="B657" s="1">
        <v>45168</v>
      </c>
      <c r="C657" s="1">
        <f>DATE(YEAR(Table1[[#This Row],[Sale_Date]]), MONTH(Table1[[#This Row],[Sale_Date]]), 1)</f>
        <v>45139</v>
      </c>
      <c r="D657" t="s">
        <v>42</v>
      </c>
      <c r="E657" t="s">
        <v>21</v>
      </c>
      <c r="F657" s="2">
        <v>8660.1200000000008</v>
      </c>
      <c r="G657">
        <v>25</v>
      </c>
      <c r="H657" t="s">
        <v>35</v>
      </c>
      <c r="I657" s="2">
        <v>61.5</v>
      </c>
      <c r="J657" s="2">
        <v>258.91999999999899</v>
      </c>
      <c r="K657" t="s">
        <v>30</v>
      </c>
      <c r="L657" s="5">
        <v>0.17</v>
      </c>
      <c r="M657" t="s">
        <v>31</v>
      </c>
      <c r="N657" t="s">
        <v>19</v>
      </c>
      <c r="O657" t="s">
        <v>51</v>
      </c>
      <c r="P657" s="4">
        <f t="shared" si="20"/>
        <v>5372.5899999999792</v>
      </c>
      <c r="Q657" s="4">
        <f t="shared" si="21"/>
        <v>3835.0899999999788</v>
      </c>
      <c r="R657" t="str">
        <f>IF( Table1[[#This Row],[Total Amount after sale]] &gt; 0,"PROFIT","LOSS")</f>
        <v>PROFIT</v>
      </c>
      <c r="S657" s="3">
        <f>(Table1[[#This Row],[Total Amount after sale]]/Table1[[#This Row],[Price after discount]])</f>
        <v>0.71382517556709024</v>
      </c>
    </row>
    <row r="658" spans="1:19" x14ac:dyDescent="0.3">
      <c r="A658">
        <v>1059</v>
      </c>
      <c r="B658" s="1">
        <v>45169</v>
      </c>
      <c r="C658" s="1">
        <f>DATE(YEAR(Table1[[#This Row],[Sale_Date]]), MONTH(Table1[[#This Row],[Sale_Date]]), 1)</f>
        <v>45139</v>
      </c>
      <c r="D658" t="s">
        <v>42</v>
      </c>
      <c r="E658" t="s">
        <v>15</v>
      </c>
      <c r="F658" s="2">
        <v>1203.97</v>
      </c>
      <c r="G658">
        <v>35</v>
      </c>
      <c r="H658" t="s">
        <v>26</v>
      </c>
      <c r="I658" s="2">
        <v>3333.64</v>
      </c>
      <c r="J658" s="2">
        <v>3764.52</v>
      </c>
      <c r="K658" t="s">
        <v>17</v>
      </c>
      <c r="L658" s="5">
        <v>0.02</v>
      </c>
      <c r="M658" t="s">
        <v>31</v>
      </c>
      <c r="N658" t="s">
        <v>19</v>
      </c>
      <c r="O658" t="s">
        <v>49</v>
      </c>
      <c r="P658" s="4">
        <f t="shared" si="20"/>
        <v>129123.03600000001</v>
      </c>
      <c r="Q658" s="4">
        <f t="shared" si="21"/>
        <v>12445.63600000001</v>
      </c>
      <c r="R658" t="str">
        <f>IF( Table1[[#This Row],[Total Amount after sale]] &gt; 0,"PROFIT","LOSS")</f>
        <v>PROFIT</v>
      </c>
      <c r="S658" s="3">
        <f>(Table1[[#This Row],[Total Amount after sale]]/Table1[[#This Row],[Price after discount]])</f>
        <v>9.6385868746146963E-2</v>
      </c>
    </row>
    <row r="659" spans="1:19" x14ac:dyDescent="0.3">
      <c r="A659">
        <v>1092</v>
      </c>
      <c r="B659" s="1">
        <v>45169</v>
      </c>
      <c r="C659" s="1">
        <f>DATE(YEAR(Table1[[#This Row],[Sale_Date]]), MONTH(Table1[[#This Row],[Sale_Date]]), 1)</f>
        <v>45139</v>
      </c>
      <c r="D659" t="s">
        <v>38</v>
      </c>
      <c r="E659" t="s">
        <v>25</v>
      </c>
      <c r="F659" s="2">
        <v>9203.36</v>
      </c>
      <c r="G659">
        <v>47</v>
      </c>
      <c r="H659" t="s">
        <v>26</v>
      </c>
      <c r="I659" s="2">
        <v>4284.9799999999996</v>
      </c>
      <c r="J659" s="2">
        <v>4462.3999999999996</v>
      </c>
      <c r="K659" t="s">
        <v>30</v>
      </c>
      <c r="L659" s="5">
        <v>0.28000000000000003</v>
      </c>
      <c r="M659" t="s">
        <v>31</v>
      </c>
      <c r="N659" t="s">
        <v>22</v>
      </c>
      <c r="O659" t="s">
        <v>39</v>
      </c>
      <c r="P659" s="4">
        <f t="shared" si="20"/>
        <v>151007.61599999998</v>
      </c>
      <c r="Q659" s="4">
        <f t="shared" si="21"/>
        <v>-50386.444000000003</v>
      </c>
      <c r="R659" t="str">
        <f>IF( Table1[[#This Row],[Total Amount after sale]] &gt; 0,"PROFIT","LOSS")</f>
        <v>LOSS</v>
      </c>
      <c r="S659" s="3">
        <f>(Table1[[#This Row],[Total Amount after sale]]/Table1[[#This Row],[Price after discount]])</f>
        <v>-0.33366823034938853</v>
      </c>
    </row>
    <row r="660" spans="1:19" x14ac:dyDescent="0.3">
      <c r="A660">
        <v>1028</v>
      </c>
      <c r="B660" s="1">
        <v>45169</v>
      </c>
      <c r="C660" s="1">
        <f>DATE(YEAR(Table1[[#This Row],[Sale_Date]]), MONTH(Table1[[#This Row],[Sale_Date]]), 1)</f>
        <v>45139</v>
      </c>
      <c r="D660" t="s">
        <v>38</v>
      </c>
      <c r="E660" t="s">
        <v>15</v>
      </c>
      <c r="F660" s="2">
        <v>5403</v>
      </c>
      <c r="G660">
        <v>28</v>
      </c>
      <c r="H660" t="s">
        <v>16</v>
      </c>
      <c r="I660" s="2">
        <v>2055.2800000000002</v>
      </c>
      <c r="J660" s="2">
        <v>2449.64</v>
      </c>
      <c r="K660" t="s">
        <v>30</v>
      </c>
      <c r="L660" s="5">
        <v>0.19</v>
      </c>
      <c r="M660" t="s">
        <v>31</v>
      </c>
      <c r="N660" t="s">
        <v>19</v>
      </c>
      <c r="O660" t="s">
        <v>40</v>
      </c>
      <c r="P660" s="4">
        <f t="shared" si="20"/>
        <v>55557.835200000001</v>
      </c>
      <c r="Q660" s="4">
        <f t="shared" si="21"/>
        <v>-1990.0048000000061</v>
      </c>
      <c r="R660" t="str">
        <f>IF( Table1[[#This Row],[Total Amount after sale]] &gt; 0,"PROFIT","LOSS")</f>
        <v>LOSS</v>
      </c>
      <c r="S660" s="3">
        <f>(Table1[[#This Row],[Total Amount after sale]]/Table1[[#This Row],[Price after discount]])</f>
        <v>-3.5818616633212626E-2</v>
      </c>
    </row>
    <row r="661" spans="1:19" x14ac:dyDescent="0.3">
      <c r="A661">
        <v>1026</v>
      </c>
      <c r="B661" s="1">
        <v>45169</v>
      </c>
      <c r="C661" s="1">
        <f>DATE(YEAR(Table1[[#This Row],[Sale_Date]]), MONTH(Table1[[#This Row],[Sale_Date]]), 1)</f>
        <v>45139</v>
      </c>
      <c r="D661" t="s">
        <v>42</v>
      </c>
      <c r="E661" t="s">
        <v>34</v>
      </c>
      <c r="F661" s="2">
        <v>3784.52</v>
      </c>
      <c r="G661">
        <v>25</v>
      </c>
      <c r="H661" t="s">
        <v>35</v>
      </c>
      <c r="I661" s="2">
        <v>1156.8800000000001</v>
      </c>
      <c r="J661" s="2">
        <v>1454.68</v>
      </c>
      <c r="K661" t="s">
        <v>17</v>
      </c>
      <c r="L661" s="5">
        <v>0.06</v>
      </c>
      <c r="M661" t="s">
        <v>31</v>
      </c>
      <c r="N661" t="s">
        <v>19</v>
      </c>
      <c r="O661" t="s">
        <v>52</v>
      </c>
      <c r="P661" s="4">
        <f t="shared" si="20"/>
        <v>34184.980000000003</v>
      </c>
      <c r="Q661" s="4">
        <f t="shared" si="21"/>
        <v>5262.9799999999987</v>
      </c>
      <c r="R661" t="str">
        <f>IF( Table1[[#This Row],[Total Amount after sale]] &gt; 0,"PROFIT","LOSS")</f>
        <v>PROFIT</v>
      </c>
      <c r="S661" s="3">
        <f>(Table1[[#This Row],[Total Amount after sale]]/Table1[[#This Row],[Price after discount]])</f>
        <v>0.15395591865199273</v>
      </c>
    </row>
    <row r="662" spans="1:19" x14ac:dyDescent="0.3">
      <c r="A662">
        <v>1018</v>
      </c>
      <c r="B662" s="1">
        <v>45169</v>
      </c>
      <c r="C662" s="1">
        <f>DATE(YEAR(Table1[[#This Row],[Sale_Date]]), MONTH(Table1[[#This Row],[Sale_Date]]), 1)</f>
        <v>45139</v>
      </c>
      <c r="D662" t="s">
        <v>42</v>
      </c>
      <c r="E662" t="s">
        <v>34</v>
      </c>
      <c r="F662" s="2">
        <v>2260.25</v>
      </c>
      <c r="G662">
        <v>1</v>
      </c>
      <c r="H662" t="s">
        <v>35</v>
      </c>
      <c r="I662" s="2">
        <v>2315.83</v>
      </c>
      <c r="J662" s="2">
        <v>2333.19</v>
      </c>
      <c r="K662" t="s">
        <v>30</v>
      </c>
      <c r="L662" s="5">
        <v>0.01</v>
      </c>
      <c r="M662" t="s">
        <v>18</v>
      </c>
      <c r="N662" t="s">
        <v>22</v>
      </c>
      <c r="O662" t="s">
        <v>52</v>
      </c>
      <c r="P662" s="4">
        <f t="shared" si="20"/>
        <v>2309.8580999999999</v>
      </c>
      <c r="Q662" s="4">
        <f t="shared" si="21"/>
        <v>-5.9719000000000051</v>
      </c>
      <c r="R662" t="str">
        <f>IF( Table1[[#This Row],[Total Amount after sale]] &gt; 0,"PROFIT","LOSS")</f>
        <v>LOSS</v>
      </c>
      <c r="S662" s="3">
        <f>(Table1[[#This Row],[Total Amount after sale]]/Table1[[#This Row],[Price after discount]])</f>
        <v>-2.5853969124770069E-3</v>
      </c>
    </row>
    <row r="663" spans="1:19" x14ac:dyDescent="0.3">
      <c r="A663">
        <v>1086</v>
      </c>
      <c r="B663" s="1">
        <v>45170</v>
      </c>
      <c r="C663" s="1">
        <f>DATE(YEAR(Table1[[#This Row],[Sale_Date]]), MONTH(Table1[[#This Row],[Sale_Date]]), 1)</f>
        <v>45170</v>
      </c>
      <c r="D663" t="s">
        <v>33</v>
      </c>
      <c r="E663" t="s">
        <v>21</v>
      </c>
      <c r="F663" s="2">
        <v>5437.04</v>
      </c>
      <c r="G663">
        <v>17</v>
      </c>
      <c r="H663" t="s">
        <v>35</v>
      </c>
      <c r="I663" s="2">
        <v>4075.08</v>
      </c>
      <c r="J663" s="2">
        <v>4262.21</v>
      </c>
      <c r="K663" t="s">
        <v>30</v>
      </c>
      <c r="L663" s="5">
        <v>0.17</v>
      </c>
      <c r="M663" t="s">
        <v>18</v>
      </c>
      <c r="N663" t="s">
        <v>19</v>
      </c>
      <c r="O663" t="s">
        <v>37</v>
      </c>
      <c r="P663" s="4">
        <f t="shared" si="20"/>
        <v>60139.783099999993</v>
      </c>
      <c r="Q663" s="4">
        <f t="shared" si="21"/>
        <v>-9136.5769000000037</v>
      </c>
      <c r="R663" t="str">
        <f>IF( Table1[[#This Row],[Total Amount after sale]] &gt; 0,"PROFIT","LOSS")</f>
        <v>LOSS</v>
      </c>
      <c r="S663" s="3">
        <f>(Table1[[#This Row],[Total Amount after sale]]/Table1[[#This Row],[Price after discount]])</f>
        <v>-0.15192234539336083</v>
      </c>
    </row>
    <row r="664" spans="1:19" x14ac:dyDescent="0.3">
      <c r="A664">
        <v>1019</v>
      </c>
      <c r="B664" s="1">
        <v>45170</v>
      </c>
      <c r="C664" s="1">
        <f>DATE(YEAR(Table1[[#This Row],[Sale_Date]]), MONTH(Table1[[#This Row],[Sale_Date]]), 1)</f>
        <v>45170</v>
      </c>
      <c r="D664" t="s">
        <v>24</v>
      </c>
      <c r="E664" t="s">
        <v>21</v>
      </c>
      <c r="F664" s="2">
        <v>2550.84</v>
      </c>
      <c r="G664">
        <v>16</v>
      </c>
      <c r="H664" t="s">
        <v>29</v>
      </c>
      <c r="I664" s="2">
        <v>97.24</v>
      </c>
      <c r="J664" s="2">
        <v>487.03</v>
      </c>
      <c r="K664" t="s">
        <v>30</v>
      </c>
      <c r="L664" s="5">
        <v>0.22</v>
      </c>
      <c r="M664" t="s">
        <v>27</v>
      </c>
      <c r="N664" t="s">
        <v>22</v>
      </c>
      <c r="O664" t="s">
        <v>47</v>
      </c>
      <c r="P664" s="4">
        <f t="shared" si="20"/>
        <v>6078.1343999999999</v>
      </c>
      <c r="Q664" s="4">
        <f t="shared" si="21"/>
        <v>4522.2943999999998</v>
      </c>
      <c r="R664" t="str">
        <f>IF( Table1[[#This Row],[Total Amount after sale]] &gt; 0,"PROFIT","LOSS")</f>
        <v>PROFIT</v>
      </c>
      <c r="S664" s="3">
        <f>(Table1[[#This Row],[Total Amount after sale]]/Table1[[#This Row],[Price after discount]])</f>
        <v>0.74402671977770019</v>
      </c>
    </row>
    <row r="665" spans="1:19" x14ac:dyDescent="0.3">
      <c r="A665">
        <v>1058</v>
      </c>
      <c r="B665" s="1">
        <v>45171</v>
      </c>
      <c r="C665" s="1">
        <f>DATE(YEAR(Table1[[#This Row],[Sale_Date]]), MONTH(Table1[[#This Row],[Sale_Date]]), 1)</f>
        <v>45170</v>
      </c>
      <c r="D665" t="s">
        <v>24</v>
      </c>
      <c r="E665" t="s">
        <v>25</v>
      </c>
      <c r="F665" s="2">
        <v>1142.92</v>
      </c>
      <c r="G665">
        <v>9</v>
      </c>
      <c r="H665" t="s">
        <v>16</v>
      </c>
      <c r="I665" s="2">
        <v>760.55</v>
      </c>
      <c r="J665" s="2">
        <v>1086.8899999999901</v>
      </c>
      <c r="K665" t="s">
        <v>17</v>
      </c>
      <c r="L665" s="5">
        <v>0.15</v>
      </c>
      <c r="M665" t="s">
        <v>18</v>
      </c>
      <c r="N665" t="s">
        <v>22</v>
      </c>
      <c r="O665" t="s">
        <v>28</v>
      </c>
      <c r="P665" s="4">
        <f t="shared" si="20"/>
        <v>8314.7084999999242</v>
      </c>
      <c r="Q665" s="4">
        <f t="shared" si="21"/>
        <v>1469.7584999999244</v>
      </c>
      <c r="R665" t="str">
        <f>IF( Table1[[#This Row],[Total Amount after sale]] &gt; 0,"PROFIT","LOSS")</f>
        <v>PROFIT</v>
      </c>
      <c r="S665" s="3">
        <f>(Table1[[#This Row],[Total Amount after sale]]/Table1[[#This Row],[Price after discount]])</f>
        <v>0.17676608867285459</v>
      </c>
    </row>
    <row r="666" spans="1:19" x14ac:dyDescent="0.3">
      <c r="A666">
        <v>1023</v>
      </c>
      <c r="B666" s="1">
        <v>45172</v>
      </c>
      <c r="C666" s="1">
        <f>DATE(YEAR(Table1[[#This Row],[Sale_Date]]), MONTH(Table1[[#This Row],[Sale_Date]]), 1)</f>
        <v>45170</v>
      </c>
      <c r="D666" t="s">
        <v>24</v>
      </c>
      <c r="E666" t="s">
        <v>25</v>
      </c>
      <c r="F666" s="2">
        <v>4285.01</v>
      </c>
      <c r="G666">
        <v>32</v>
      </c>
      <c r="H666" t="s">
        <v>35</v>
      </c>
      <c r="I666" s="2">
        <v>4775.04</v>
      </c>
      <c r="J666" s="2">
        <v>4785.66</v>
      </c>
      <c r="K666" t="s">
        <v>30</v>
      </c>
      <c r="L666" s="5">
        <v>0.03</v>
      </c>
      <c r="M666" t="s">
        <v>18</v>
      </c>
      <c r="N666" t="s">
        <v>19</v>
      </c>
      <c r="O666" t="s">
        <v>28</v>
      </c>
      <c r="P666" s="4">
        <f t="shared" si="20"/>
        <v>148546.88639999999</v>
      </c>
      <c r="Q666" s="4">
        <f t="shared" si="21"/>
        <v>-4254.3936000000103</v>
      </c>
      <c r="R666" t="str">
        <f>IF( Table1[[#This Row],[Total Amount after sale]] &gt; 0,"PROFIT","LOSS")</f>
        <v>LOSS</v>
      </c>
      <c r="S666" s="3">
        <f>(Table1[[#This Row],[Total Amount after sale]]/Table1[[#This Row],[Price after discount]])</f>
        <v>-2.8640072525949696E-2</v>
      </c>
    </row>
    <row r="667" spans="1:19" x14ac:dyDescent="0.3">
      <c r="A667">
        <v>1055</v>
      </c>
      <c r="B667" s="1">
        <v>45172</v>
      </c>
      <c r="C667" s="1">
        <f>DATE(YEAR(Table1[[#This Row],[Sale_Date]]), MONTH(Table1[[#This Row],[Sale_Date]]), 1)</f>
        <v>45170</v>
      </c>
      <c r="D667" t="s">
        <v>33</v>
      </c>
      <c r="E667" t="s">
        <v>21</v>
      </c>
      <c r="F667" s="2">
        <v>7169.12</v>
      </c>
      <c r="G667">
        <v>12</v>
      </c>
      <c r="H667" t="s">
        <v>35</v>
      </c>
      <c r="I667" s="2">
        <v>2538.61</v>
      </c>
      <c r="J667" s="2">
        <v>2971.75</v>
      </c>
      <c r="K667" t="s">
        <v>17</v>
      </c>
      <c r="L667" s="5">
        <v>0.24</v>
      </c>
      <c r="M667" t="s">
        <v>18</v>
      </c>
      <c r="N667" t="s">
        <v>19</v>
      </c>
      <c r="O667" t="s">
        <v>37</v>
      </c>
      <c r="P667" s="4">
        <f t="shared" si="20"/>
        <v>27102.36</v>
      </c>
      <c r="Q667" s="4">
        <f t="shared" si="21"/>
        <v>-3360.9599999999991</v>
      </c>
      <c r="R667" t="str">
        <f>IF( Table1[[#This Row],[Total Amount after sale]] &gt; 0,"PROFIT","LOSS")</f>
        <v>LOSS</v>
      </c>
      <c r="S667" s="3">
        <f>(Table1[[#This Row],[Total Amount after sale]]/Table1[[#This Row],[Price after discount]])</f>
        <v>-0.12400986482357991</v>
      </c>
    </row>
    <row r="668" spans="1:19" x14ac:dyDescent="0.3">
      <c r="A668">
        <v>1091</v>
      </c>
      <c r="B668" s="1">
        <v>45173</v>
      </c>
      <c r="C668" s="1">
        <f>DATE(YEAR(Table1[[#This Row],[Sale_Date]]), MONTH(Table1[[#This Row],[Sale_Date]]), 1)</f>
        <v>45170</v>
      </c>
      <c r="D668" t="s">
        <v>33</v>
      </c>
      <c r="E668" t="s">
        <v>25</v>
      </c>
      <c r="F668" s="2">
        <v>675.11</v>
      </c>
      <c r="G668">
        <v>44</v>
      </c>
      <c r="H668" t="s">
        <v>26</v>
      </c>
      <c r="I668" s="2">
        <v>2085.46</v>
      </c>
      <c r="J668" s="2">
        <v>2406.58</v>
      </c>
      <c r="K668" t="s">
        <v>17</v>
      </c>
      <c r="L668" s="5">
        <v>0.06</v>
      </c>
      <c r="M668" t="s">
        <v>27</v>
      </c>
      <c r="N668" t="s">
        <v>22</v>
      </c>
      <c r="O668" t="s">
        <v>44</v>
      </c>
      <c r="P668" s="4">
        <f t="shared" si="20"/>
        <v>99536.148799999995</v>
      </c>
      <c r="Q668" s="4">
        <f t="shared" si="21"/>
        <v>7775.9087999999938</v>
      </c>
      <c r="R668" t="str">
        <f>IF( Table1[[#This Row],[Total Amount after sale]] &gt; 0,"PROFIT","LOSS")</f>
        <v>PROFIT</v>
      </c>
      <c r="S668" s="3">
        <f>(Table1[[#This Row],[Total Amount after sale]]/Table1[[#This Row],[Price after discount]])</f>
        <v>7.8121455307903112E-2</v>
      </c>
    </row>
    <row r="669" spans="1:19" x14ac:dyDescent="0.3">
      <c r="A669">
        <v>1068</v>
      </c>
      <c r="B669" s="1">
        <v>45173</v>
      </c>
      <c r="C669" s="1">
        <f>DATE(YEAR(Table1[[#This Row],[Sale_Date]]), MONTH(Table1[[#This Row],[Sale_Date]]), 1)</f>
        <v>45170</v>
      </c>
      <c r="D669" t="s">
        <v>38</v>
      </c>
      <c r="E669" t="s">
        <v>34</v>
      </c>
      <c r="F669" s="2">
        <v>3905.11</v>
      </c>
      <c r="G669">
        <v>14</v>
      </c>
      <c r="H669" t="s">
        <v>26</v>
      </c>
      <c r="I669" s="2">
        <v>1140.58</v>
      </c>
      <c r="J669" s="2">
        <v>1438.76</v>
      </c>
      <c r="K669" t="s">
        <v>17</v>
      </c>
      <c r="L669" s="5">
        <v>0.03</v>
      </c>
      <c r="M669" t="s">
        <v>27</v>
      </c>
      <c r="N669" t="s">
        <v>19</v>
      </c>
      <c r="O669" t="s">
        <v>48</v>
      </c>
      <c r="P669" s="4">
        <f t="shared" si="20"/>
        <v>19538.360799999999</v>
      </c>
      <c r="Q669" s="4">
        <f t="shared" si="21"/>
        <v>3570.2408</v>
      </c>
      <c r="R669" t="str">
        <f>IF( Table1[[#This Row],[Total Amount after sale]] &gt; 0,"PROFIT","LOSS")</f>
        <v>PROFIT</v>
      </c>
      <c r="S669" s="3">
        <f>(Table1[[#This Row],[Total Amount after sale]]/Table1[[#This Row],[Price after discount]])</f>
        <v>0.1827298019801129</v>
      </c>
    </row>
    <row r="670" spans="1:19" x14ac:dyDescent="0.3">
      <c r="A670">
        <v>1081</v>
      </c>
      <c r="B670" s="1">
        <v>45173</v>
      </c>
      <c r="C670" s="1">
        <f>DATE(YEAR(Table1[[#This Row],[Sale_Date]]), MONTH(Table1[[#This Row],[Sale_Date]]), 1)</f>
        <v>45170</v>
      </c>
      <c r="D670" t="s">
        <v>42</v>
      </c>
      <c r="E670" t="s">
        <v>15</v>
      </c>
      <c r="F670" s="2">
        <v>7215.52</v>
      </c>
      <c r="G670">
        <v>23</v>
      </c>
      <c r="H670" t="s">
        <v>35</v>
      </c>
      <c r="I670" s="2">
        <v>1236.25</v>
      </c>
      <c r="J670" s="2">
        <v>1543.38</v>
      </c>
      <c r="K670" t="s">
        <v>30</v>
      </c>
      <c r="L670" s="5">
        <v>0.1</v>
      </c>
      <c r="M670" t="s">
        <v>27</v>
      </c>
      <c r="N670" t="s">
        <v>19</v>
      </c>
      <c r="O670" t="s">
        <v>49</v>
      </c>
      <c r="P670" s="4">
        <f t="shared" si="20"/>
        <v>31947.966000000004</v>
      </c>
      <c r="Q670" s="4">
        <f t="shared" si="21"/>
        <v>3514.2160000000031</v>
      </c>
      <c r="R670" t="str">
        <f>IF( Table1[[#This Row],[Total Amount after sale]] &gt; 0,"PROFIT","LOSS")</f>
        <v>PROFIT</v>
      </c>
      <c r="S670" s="3">
        <f>(Table1[[#This Row],[Total Amount after sale]]/Table1[[#This Row],[Price after discount]])</f>
        <v>0.10999811380793389</v>
      </c>
    </row>
    <row r="671" spans="1:19" x14ac:dyDescent="0.3">
      <c r="A671">
        <v>1020</v>
      </c>
      <c r="B671" s="1">
        <v>45175</v>
      </c>
      <c r="C671" s="1">
        <f>DATE(YEAR(Table1[[#This Row],[Sale_Date]]), MONTH(Table1[[#This Row],[Sale_Date]]), 1)</f>
        <v>45170</v>
      </c>
      <c r="D671" t="s">
        <v>33</v>
      </c>
      <c r="E671" t="s">
        <v>34</v>
      </c>
      <c r="F671" s="2">
        <v>9705.5499999999993</v>
      </c>
      <c r="G671">
        <v>4</v>
      </c>
      <c r="H671" t="s">
        <v>29</v>
      </c>
      <c r="I671" s="2">
        <v>3730</v>
      </c>
      <c r="J671" s="2">
        <v>3893.6</v>
      </c>
      <c r="K671" t="s">
        <v>30</v>
      </c>
      <c r="L671" s="5">
        <v>0.25</v>
      </c>
      <c r="M671" t="s">
        <v>27</v>
      </c>
      <c r="N671" t="s">
        <v>22</v>
      </c>
      <c r="O671" t="s">
        <v>36</v>
      </c>
      <c r="P671" s="4">
        <f t="shared" si="20"/>
        <v>11680.8</v>
      </c>
      <c r="Q671" s="4">
        <f t="shared" si="21"/>
        <v>-3239.2000000000007</v>
      </c>
      <c r="R671" t="str">
        <f>IF( Table1[[#This Row],[Total Amount after sale]] &gt; 0,"PROFIT","LOSS")</f>
        <v>LOSS</v>
      </c>
      <c r="S671" s="3">
        <f>(Table1[[#This Row],[Total Amount after sale]]/Table1[[#This Row],[Price after discount]])</f>
        <v>-0.2773097733031985</v>
      </c>
    </row>
    <row r="672" spans="1:19" x14ac:dyDescent="0.3">
      <c r="A672">
        <v>1020</v>
      </c>
      <c r="B672" s="1">
        <v>45175</v>
      </c>
      <c r="C672" s="1">
        <f>DATE(YEAR(Table1[[#This Row],[Sale_Date]]), MONTH(Table1[[#This Row],[Sale_Date]]), 1)</f>
        <v>45170</v>
      </c>
      <c r="D672" t="s">
        <v>14</v>
      </c>
      <c r="E672" t="s">
        <v>34</v>
      </c>
      <c r="F672" s="2">
        <v>1958.45</v>
      </c>
      <c r="G672">
        <v>45</v>
      </c>
      <c r="H672" t="s">
        <v>29</v>
      </c>
      <c r="I672" s="2">
        <v>2188.4499999999998</v>
      </c>
      <c r="J672" s="2">
        <v>2255.0499999999902</v>
      </c>
      <c r="K672" t="s">
        <v>30</v>
      </c>
      <c r="L672" s="5">
        <v>0.11</v>
      </c>
      <c r="M672" t="s">
        <v>27</v>
      </c>
      <c r="N672" t="s">
        <v>22</v>
      </c>
      <c r="O672" t="s">
        <v>46</v>
      </c>
      <c r="P672" s="4">
        <f t="shared" si="20"/>
        <v>90314.752499999609</v>
      </c>
      <c r="Q672" s="4">
        <f t="shared" si="21"/>
        <v>-8165.4975000003797</v>
      </c>
      <c r="R672" t="str">
        <f>IF( Table1[[#This Row],[Total Amount after sale]] &gt; 0,"PROFIT","LOSS")</f>
        <v>LOSS</v>
      </c>
      <c r="S672" s="3">
        <f>(Table1[[#This Row],[Total Amount after sale]]/Table1[[#This Row],[Price after discount]])</f>
        <v>-9.0411558178166027E-2</v>
      </c>
    </row>
    <row r="673" spans="1:19" x14ac:dyDescent="0.3">
      <c r="A673">
        <v>1013</v>
      </c>
      <c r="B673" s="1">
        <v>45176</v>
      </c>
      <c r="C673" s="1">
        <f>DATE(YEAR(Table1[[#This Row],[Sale_Date]]), MONTH(Table1[[#This Row],[Sale_Date]]), 1)</f>
        <v>45170</v>
      </c>
      <c r="D673" t="s">
        <v>42</v>
      </c>
      <c r="E673" t="s">
        <v>21</v>
      </c>
      <c r="F673" s="2">
        <v>7413.36</v>
      </c>
      <c r="G673">
        <v>16</v>
      </c>
      <c r="H673" t="s">
        <v>16</v>
      </c>
      <c r="I673" s="2">
        <v>919.58</v>
      </c>
      <c r="J673" s="2">
        <v>1258.3</v>
      </c>
      <c r="K673" t="s">
        <v>17</v>
      </c>
      <c r="L673" s="5">
        <v>0.14000000000000001</v>
      </c>
      <c r="M673" t="s">
        <v>27</v>
      </c>
      <c r="N673" t="s">
        <v>19</v>
      </c>
      <c r="O673" t="s">
        <v>51</v>
      </c>
      <c r="P673" s="4">
        <f t="shared" si="20"/>
        <v>17314.207999999999</v>
      </c>
      <c r="Q673" s="4">
        <f t="shared" si="21"/>
        <v>2600.9279999999981</v>
      </c>
      <c r="R673" t="str">
        <f>IF( Table1[[#This Row],[Total Amount after sale]] &gt; 0,"PROFIT","LOSS")</f>
        <v>PROFIT</v>
      </c>
      <c r="S673" s="3">
        <f>(Table1[[#This Row],[Total Amount after sale]]/Table1[[#This Row],[Price after discount]])</f>
        <v>0.15021928811297625</v>
      </c>
    </row>
    <row r="674" spans="1:19" x14ac:dyDescent="0.3">
      <c r="A674">
        <v>1019</v>
      </c>
      <c r="B674" s="1">
        <v>45176</v>
      </c>
      <c r="C674" s="1">
        <f>DATE(YEAR(Table1[[#This Row],[Sale_Date]]), MONTH(Table1[[#This Row],[Sale_Date]]), 1)</f>
        <v>45170</v>
      </c>
      <c r="D674" t="s">
        <v>14</v>
      </c>
      <c r="E674" t="s">
        <v>21</v>
      </c>
      <c r="F674" s="2">
        <v>6882.83</v>
      </c>
      <c r="G674">
        <v>27</v>
      </c>
      <c r="H674" t="s">
        <v>35</v>
      </c>
      <c r="I674" s="2">
        <v>2387.52</v>
      </c>
      <c r="J674" s="2">
        <v>2604.06</v>
      </c>
      <c r="K674" t="s">
        <v>17</v>
      </c>
      <c r="L674" s="5">
        <v>0.16</v>
      </c>
      <c r="M674" t="s">
        <v>18</v>
      </c>
      <c r="N674" t="s">
        <v>19</v>
      </c>
      <c r="O674" t="s">
        <v>23</v>
      </c>
      <c r="P674" s="4">
        <f t="shared" si="20"/>
        <v>59060.080799999996</v>
      </c>
      <c r="Q674" s="4">
        <f t="shared" si="21"/>
        <v>-5402.9592000000066</v>
      </c>
      <c r="R674" t="str">
        <f>IF( Table1[[#This Row],[Total Amount after sale]] &gt; 0,"PROFIT","LOSS")</f>
        <v>LOSS</v>
      </c>
      <c r="S674" s="3">
        <f>(Table1[[#This Row],[Total Amount after sale]]/Table1[[#This Row],[Price after discount]])</f>
        <v>-9.148242140569518E-2</v>
      </c>
    </row>
    <row r="675" spans="1:19" x14ac:dyDescent="0.3">
      <c r="A675">
        <v>1067</v>
      </c>
      <c r="B675" s="1">
        <v>45176</v>
      </c>
      <c r="C675" s="1">
        <f>DATE(YEAR(Table1[[#This Row],[Sale_Date]]), MONTH(Table1[[#This Row],[Sale_Date]]), 1)</f>
        <v>45170</v>
      </c>
      <c r="D675" t="s">
        <v>14</v>
      </c>
      <c r="E675" t="s">
        <v>15</v>
      </c>
      <c r="F675" s="2">
        <v>4716.3599999999997</v>
      </c>
      <c r="G675">
        <v>37</v>
      </c>
      <c r="H675" t="s">
        <v>29</v>
      </c>
      <c r="I675" s="2">
        <v>1754.32</v>
      </c>
      <c r="J675" s="2">
        <v>1856.3999999999901</v>
      </c>
      <c r="K675" t="s">
        <v>30</v>
      </c>
      <c r="L675" s="5">
        <v>0.21</v>
      </c>
      <c r="M675" t="s">
        <v>27</v>
      </c>
      <c r="N675" t="s">
        <v>22</v>
      </c>
      <c r="O675" t="s">
        <v>20</v>
      </c>
      <c r="P675" s="4">
        <f t="shared" si="20"/>
        <v>54262.571999999716</v>
      </c>
      <c r="Q675" s="4">
        <f t="shared" si="21"/>
        <v>-10647.268000000282</v>
      </c>
      <c r="R675" t="str">
        <f>IF( Table1[[#This Row],[Total Amount after sale]] &gt; 0,"PROFIT","LOSS")</f>
        <v>LOSS</v>
      </c>
      <c r="S675" s="3">
        <f>(Table1[[#This Row],[Total Amount after sale]]/Table1[[#This Row],[Price after discount]])</f>
        <v>-0.19621753277747944</v>
      </c>
    </row>
    <row r="676" spans="1:19" x14ac:dyDescent="0.3">
      <c r="A676">
        <v>1020</v>
      </c>
      <c r="B676" s="1">
        <v>45177</v>
      </c>
      <c r="C676" s="1">
        <f>DATE(YEAR(Table1[[#This Row],[Sale_Date]]), MONTH(Table1[[#This Row],[Sale_Date]]), 1)</f>
        <v>45170</v>
      </c>
      <c r="D676" t="s">
        <v>38</v>
      </c>
      <c r="E676" t="s">
        <v>15</v>
      </c>
      <c r="F676" s="2">
        <v>9733.4699999999993</v>
      </c>
      <c r="G676">
        <v>26</v>
      </c>
      <c r="H676" t="s">
        <v>29</v>
      </c>
      <c r="I676" s="2">
        <v>4472.3500000000004</v>
      </c>
      <c r="J676" s="2">
        <v>4770.42</v>
      </c>
      <c r="K676" t="s">
        <v>30</v>
      </c>
      <c r="L676" s="5">
        <v>0.01</v>
      </c>
      <c r="M676" t="s">
        <v>31</v>
      </c>
      <c r="N676" t="s">
        <v>22</v>
      </c>
      <c r="O676" t="s">
        <v>40</v>
      </c>
      <c r="P676" s="4">
        <f t="shared" si="20"/>
        <v>122790.61079999999</v>
      </c>
      <c r="Q676" s="4">
        <f t="shared" si="21"/>
        <v>6509.5107999999891</v>
      </c>
      <c r="R676" t="str">
        <f>IF( Table1[[#This Row],[Total Amount after sale]] &gt; 0,"PROFIT","LOSS")</f>
        <v>PROFIT</v>
      </c>
      <c r="S676" s="3">
        <f>(Table1[[#This Row],[Total Amount after sale]]/Table1[[#This Row],[Price after discount]])</f>
        <v>5.3013098946161359E-2</v>
      </c>
    </row>
    <row r="677" spans="1:19" x14ac:dyDescent="0.3">
      <c r="A677">
        <v>1087</v>
      </c>
      <c r="B677" s="1">
        <v>45177</v>
      </c>
      <c r="C677" s="1">
        <f>DATE(YEAR(Table1[[#This Row],[Sale_Date]]), MONTH(Table1[[#This Row],[Sale_Date]]), 1)</f>
        <v>45170</v>
      </c>
      <c r="D677" t="s">
        <v>33</v>
      </c>
      <c r="E677" t="s">
        <v>15</v>
      </c>
      <c r="F677" s="2">
        <v>119.72</v>
      </c>
      <c r="G677">
        <v>20</v>
      </c>
      <c r="H677" t="s">
        <v>29</v>
      </c>
      <c r="I677" s="2">
        <v>193.27</v>
      </c>
      <c r="J677" s="2">
        <v>297.69</v>
      </c>
      <c r="K677" t="s">
        <v>30</v>
      </c>
      <c r="L677" s="5">
        <v>0.22</v>
      </c>
      <c r="M677" t="s">
        <v>18</v>
      </c>
      <c r="N677" t="s">
        <v>19</v>
      </c>
      <c r="O677" t="s">
        <v>53</v>
      </c>
      <c r="P677" s="4">
        <f t="shared" si="20"/>
        <v>4643.9639999999999</v>
      </c>
      <c r="Q677" s="4">
        <f t="shared" si="21"/>
        <v>778.56400000000008</v>
      </c>
      <c r="R677" t="str">
        <f>IF( Table1[[#This Row],[Total Amount after sale]] &gt; 0,"PROFIT","LOSS")</f>
        <v>PROFIT</v>
      </c>
      <c r="S677" s="3">
        <f>(Table1[[#This Row],[Total Amount after sale]]/Table1[[#This Row],[Price after discount]])</f>
        <v>0.16765073975594988</v>
      </c>
    </row>
    <row r="678" spans="1:19" x14ac:dyDescent="0.3">
      <c r="A678">
        <v>1089</v>
      </c>
      <c r="B678" s="1">
        <v>45177</v>
      </c>
      <c r="C678" s="1">
        <f>DATE(YEAR(Table1[[#This Row],[Sale_Date]]), MONTH(Table1[[#This Row],[Sale_Date]]), 1)</f>
        <v>45170</v>
      </c>
      <c r="D678" t="s">
        <v>14</v>
      </c>
      <c r="E678" t="s">
        <v>21</v>
      </c>
      <c r="F678" s="2">
        <v>5228.28</v>
      </c>
      <c r="G678">
        <v>40</v>
      </c>
      <c r="H678" t="s">
        <v>16</v>
      </c>
      <c r="I678" s="2">
        <v>4089.66</v>
      </c>
      <c r="J678" s="2">
        <v>4275.96</v>
      </c>
      <c r="K678" t="s">
        <v>30</v>
      </c>
      <c r="L678" s="5">
        <v>0.23</v>
      </c>
      <c r="M678" t="s">
        <v>31</v>
      </c>
      <c r="N678" t="s">
        <v>19</v>
      </c>
      <c r="O678" t="s">
        <v>23</v>
      </c>
      <c r="P678" s="4">
        <f t="shared" si="20"/>
        <v>131699.568</v>
      </c>
      <c r="Q678" s="4">
        <f t="shared" si="21"/>
        <v>-31886.831999999995</v>
      </c>
      <c r="R678" t="str">
        <f>IF( Table1[[#This Row],[Total Amount after sale]] &gt; 0,"PROFIT","LOSS")</f>
        <v>LOSS</v>
      </c>
      <c r="S678" s="3">
        <f>(Table1[[#This Row],[Total Amount after sale]]/Table1[[#This Row],[Price after discount]])</f>
        <v>-0.2421179695896952</v>
      </c>
    </row>
    <row r="679" spans="1:19" x14ac:dyDescent="0.3">
      <c r="A679">
        <v>1005</v>
      </c>
      <c r="B679" s="1">
        <v>45177</v>
      </c>
      <c r="C679" s="1">
        <f>DATE(YEAR(Table1[[#This Row],[Sale_Date]]), MONTH(Table1[[#This Row],[Sale_Date]]), 1)</f>
        <v>45170</v>
      </c>
      <c r="D679" t="s">
        <v>38</v>
      </c>
      <c r="E679" t="s">
        <v>15</v>
      </c>
      <c r="F679" s="2">
        <v>7103.23</v>
      </c>
      <c r="G679">
        <v>9</v>
      </c>
      <c r="H679" t="s">
        <v>35</v>
      </c>
      <c r="I679" s="2">
        <v>4737.0600000000004</v>
      </c>
      <c r="J679" s="2">
        <v>4869.5</v>
      </c>
      <c r="K679" t="s">
        <v>30</v>
      </c>
      <c r="L679" s="5">
        <v>7.0000000000000007E-2</v>
      </c>
      <c r="M679" t="s">
        <v>18</v>
      </c>
      <c r="N679" t="s">
        <v>19</v>
      </c>
      <c r="O679" t="s">
        <v>40</v>
      </c>
      <c r="P679" s="4">
        <f t="shared" si="20"/>
        <v>40757.714999999997</v>
      </c>
      <c r="Q679" s="4">
        <f t="shared" si="21"/>
        <v>-1875.8250000000098</v>
      </c>
      <c r="R679" t="str">
        <f>IF( Table1[[#This Row],[Total Amount after sale]] &gt; 0,"PROFIT","LOSS")</f>
        <v>LOSS</v>
      </c>
      <c r="S679" s="3">
        <f>(Table1[[#This Row],[Total Amount after sale]]/Table1[[#This Row],[Price after discount]])</f>
        <v>-4.6023801874074885E-2</v>
      </c>
    </row>
    <row r="680" spans="1:19" x14ac:dyDescent="0.3">
      <c r="A680">
        <v>1046</v>
      </c>
      <c r="B680" s="1">
        <v>45177</v>
      </c>
      <c r="C680" s="1">
        <f>DATE(YEAR(Table1[[#This Row],[Sale_Date]]), MONTH(Table1[[#This Row],[Sale_Date]]), 1)</f>
        <v>45170</v>
      </c>
      <c r="D680" t="s">
        <v>42</v>
      </c>
      <c r="E680" t="s">
        <v>15</v>
      </c>
      <c r="F680" s="2">
        <v>8398.48</v>
      </c>
      <c r="G680">
        <v>30</v>
      </c>
      <c r="H680" t="s">
        <v>16</v>
      </c>
      <c r="I680" s="2">
        <v>320.73</v>
      </c>
      <c r="J680" s="2">
        <v>678.04</v>
      </c>
      <c r="K680" t="s">
        <v>17</v>
      </c>
      <c r="L680" s="5">
        <v>0.08</v>
      </c>
      <c r="M680" t="s">
        <v>18</v>
      </c>
      <c r="N680" t="s">
        <v>22</v>
      </c>
      <c r="O680" t="s">
        <v>49</v>
      </c>
      <c r="P680" s="4">
        <f t="shared" si="20"/>
        <v>18713.903999999999</v>
      </c>
      <c r="Q680" s="4">
        <f t="shared" si="21"/>
        <v>9092.003999999999</v>
      </c>
      <c r="R680" t="str">
        <f>IF( Table1[[#This Row],[Total Amount after sale]] &gt; 0,"PROFIT","LOSS")</f>
        <v>PROFIT</v>
      </c>
      <c r="S680" s="3">
        <f>(Table1[[#This Row],[Total Amount after sale]]/Table1[[#This Row],[Price after discount]])</f>
        <v>0.48584218450623662</v>
      </c>
    </row>
    <row r="681" spans="1:19" x14ac:dyDescent="0.3">
      <c r="A681">
        <v>1096</v>
      </c>
      <c r="B681" s="1">
        <v>45180</v>
      </c>
      <c r="C681" s="1">
        <f>DATE(YEAR(Table1[[#This Row],[Sale_Date]]), MONTH(Table1[[#This Row],[Sale_Date]]), 1)</f>
        <v>45170</v>
      </c>
      <c r="D681" t="s">
        <v>38</v>
      </c>
      <c r="E681" t="s">
        <v>25</v>
      </c>
      <c r="F681" s="2">
        <v>7597.37</v>
      </c>
      <c r="G681">
        <v>23</v>
      </c>
      <c r="H681" t="s">
        <v>35</v>
      </c>
      <c r="I681" s="2">
        <v>608.57000000000005</v>
      </c>
      <c r="J681" s="2">
        <v>1032.22</v>
      </c>
      <c r="K681" t="s">
        <v>30</v>
      </c>
      <c r="L681" s="5">
        <v>0.25</v>
      </c>
      <c r="M681" t="s">
        <v>18</v>
      </c>
      <c r="N681" t="s">
        <v>22</v>
      </c>
      <c r="O681" t="s">
        <v>39</v>
      </c>
      <c r="P681" s="4">
        <f t="shared" si="20"/>
        <v>17805.794999999998</v>
      </c>
      <c r="Q681" s="4">
        <f t="shared" si="21"/>
        <v>3808.6849999999981</v>
      </c>
      <c r="R681" t="str">
        <f>IF( Table1[[#This Row],[Total Amount after sale]] &gt; 0,"PROFIT","LOSS")</f>
        <v>PROFIT</v>
      </c>
      <c r="S681" s="3">
        <f>(Table1[[#This Row],[Total Amount after sale]]/Table1[[#This Row],[Price after discount]])</f>
        <v>0.21390142928187136</v>
      </c>
    </row>
    <row r="682" spans="1:19" x14ac:dyDescent="0.3">
      <c r="A682">
        <v>1003</v>
      </c>
      <c r="B682" s="1">
        <v>45180</v>
      </c>
      <c r="C682" s="1">
        <f>DATE(YEAR(Table1[[#This Row],[Sale_Date]]), MONTH(Table1[[#This Row],[Sale_Date]]), 1)</f>
        <v>45170</v>
      </c>
      <c r="D682" t="s">
        <v>24</v>
      </c>
      <c r="E682" t="s">
        <v>34</v>
      </c>
      <c r="F682" s="2">
        <v>9514.19</v>
      </c>
      <c r="G682">
        <v>22</v>
      </c>
      <c r="H682" t="s">
        <v>26</v>
      </c>
      <c r="I682" s="2">
        <v>4218.43</v>
      </c>
      <c r="J682" s="2">
        <v>4331.42</v>
      </c>
      <c r="K682" t="s">
        <v>30</v>
      </c>
      <c r="L682" s="5">
        <v>0.26</v>
      </c>
      <c r="M682" t="s">
        <v>27</v>
      </c>
      <c r="N682" t="s">
        <v>19</v>
      </c>
      <c r="O682" t="s">
        <v>50</v>
      </c>
      <c r="P682" s="4">
        <f t="shared" si="20"/>
        <v>70515.517599999992</v>
      </c>
      <c r="Q682" s="4">
        <f t="shared" si="21"/>
        <v>-22289.942400000011</v>
      </c>
      <c r="R682" t="str">
        <f>IF( Table1[[#This Row],[Total Amount after sale]] &gt; 0,"PROFIT","LOSS")</f>
        <v>LOSS</v>
      </c>
      <c r="S682" s="3">
        <f>(Table1[[#This Row],[Total Amount after sale]]/Table1[[#This Row],[Price after discount]])</f>
        <v>-0.31609981970833628</v>
      </c>
    </row>
    <row r="683" spans="1:19" x14ac:dyDescent="0.3">
      <c r="A683">
        <v>1014</v>
      </c>
      <c r="B683" s="1">
        <v>45181</v>
      </c>
      <c r="C683" s="1">
        <f>DATE(YEAR(Table1[[#This Row],[Sale_Date]]), MONTH(Table1[[#This Row],[Sale_Date]]), 1)</f>
        <v>45170</v>
      </c>
      <c r="D683" t="s">
        <v>33</v>
      </c>
      <c r="E683" t="s">
        <v>34</v>
      </c>
      <c r="F683" s="2">
        <v>8406.07</v>
      </c>
      <c r="G683">
        <v>48</v>
      </c>
      <c r="H683" t="s">
        <v>16</v>
      </c>
      <c r="I683" s="2">
        <v>556.72</v>
      </c>
      <c r="J683" s="2">
        <v>665.07</v>
      </c>
      <c r="K683" t="s">
        <v>17</v>
      </c>
      <c r="L683" s="5">
        <v>0.01</v>
      </c>
      <c r="M683" t="s">
        <v>27</v>
      </c>
      <c r="N683" t="s">
        <v>22</v>
      </c>
      <c r="O683" t="s">
        <v>36</v>
      </c>
      <c r="P683" s="4">
        <f t="shared" si="20"/>
        <v>31604.126400000001</v>
      </c>
      <c r="Q683" s="4">
        <f t="shared" si="21"/>
        <v>4881.5663999999997</v>
      </c>
      <c r="R683" t="str">
        <f>IF( Table1[[#This Row],[Total Amount after sale]] &gt; 0,"PROFIT","LOSS")</f>
        <v>PROFIT</v>
      </c>
      <c r="S683" s="3">
        <f>(Table1[[#This Row],[Total Amount after sale]]/Table1[[#This Row],[Price after discount]])</f>
        <v>0.15445977965712729</v>
      </c>
    </row>
    <row r="684" spans="1:19" x14ac:dyDescent="0.3">
      <c r="A684">
        <v>1037</v>
      </c>
      <c r="B684" s="1">
        <v>45182</v>
      </c>
      <c r="C684" s="1">
        <f>DATE(YEAR(Table1[[#This Row],[Sale_Date]]), MONTH(Table1[[#This Row],[Sale_Date]]), 1)</f>
        <v>45170</v>
      </c>
      <c r="D684" t="s">
        <v>14</v>
      </c>
      <c r="E684" t="s">
        <v>25</v>
      </c>
      <c r="F684" s="2">
        <v>2929.01</v>
      </c>
      <c r="G684">
        <v>5</v>
      </c>
      <c r="H684" t="s">
        <v>16</v>
      </c>
      <c r="I684" s="2">
        <v>1941.56</v>
      </c>
      <c r="J684" s="2">
        <v>2385.48</v>
      </c>
      <c r="K684" t="s">
        <v>17</v>
      </c>
      <c r="L684" s="5">
        <v>0.15</v>
      </c>
      <c r="M684" t="s">
        <v>31</v>
      </c>
      <c r="N684" t="s">
        <v>19</v>
      </c>
      <c r="O684" t="s">
        <v>32</v>
      </c>
      <c r="P684" s="4">
        <f t="shared" si="20"/>
        <v>10138.289999999999</v>
      </c>
      <c r="Q684" s="4">
        <f t="shared" si="21"/>
        <v>430.48999999999978</v>
      </c>
      <c r="R684" t="str">
        <f>IF( Table1[[#This Row],[Total Amount after sale]] &gt; 0,"PROFIT","LOSS")</f>
        <v>PROFIT</v>
      </c>
      <c r="S684" s="3">
        <f>(Table1[[#This Row],[Total Amount after sale]]/Table1[[#This Row],[Price after discount]])</f>
        <v>4.2461795825528746E-2</v>
      </c>
    </row>
    <row r="685" spans="1:19" x14ac:dyDescent="0.3">
      <c r="A685">
        <v>1001</v>
      </c>
      <c r="B685" s="1">
        <v>45183</v>
      </c>
      <c r="C685" s="1">
        <f>DATE(YEAR(Table1[[#This Row],[Sale_Date]]), MONTH(Table1[[#This Row],[Sale_Date]]), 1)</f>
        <v>45170</v>
      </c>
      <c r="D685" t="s">
        <v>38</v>
      </c>
      <c r="E685" t="s">
        <v>25</v>
      </c>
      <c r="F685" s="2">
        <v>2126.33</v>
      </c>
      <c r="G685">
        <v>39</v>
      </c>
      <c r="H685" t="s">
        <v>26</v>
      </c>
      <c r="I685" s="2">
        <v>2437.2600000000002</v>
      </c>
      <c r="J685" s="2">
        <v>2889.67</v>
      </c>
      <c r="K685" t="s">
        <v>17</v>
      </c>
      <c r="L685" s="5">
        <v>0.25</v>
      </c>
      <c r="M685" t="s">
        <v>18</v>
      </c>
      <c r="N685" t="s">
        <v>19</v>
      </c>
      <c r="O685" t="s">
        <v>39</v>
      </c>
      <c r="P685" s="4">
        <f t="shared" si="20"/>
        <v>84522.847500000003</v>
      </c>
      <c r="Q685" s="4">
        <f t="shared" si="21"/>
        <v>-10530.292500000007</v>
      </c>
      <c r="R685" t="str">
        <f>IF( Table1[[#This Row],[Total Amount after sale]] &gt; 0,"PROFIT","LOSS")</f>
        <v>LOSS</v>
      </c>
      <c r="S685" s="3">
        <f>(Table1[[#This Row],[Total Amount after sale]]/Table1[[#This Row],[Price after discount]])</f>
        <v>-0.12458516024321124</v>
      </c>
    </row>
    <row r="686" spans="1:19" x14ac:dyDescent="0.3">
      <c r="A686">
        <v>1090</v>
      </c>
      <c r="B686" s="1">
        <v>45183</v>
      </c>
      <c r="C686" s="1">
        <f>DATE(YEAR(Table1[[#This Row],[Sale_Date]]), MONTH(Table1[[#This Row],[Sale_Date]]), 1)</f>
        <v>45170</v>
      </c>
      <c r="D686" t="s">
        <v>33</v>
      </c>
      <c r="E686" t="s">
        <v>21</v>
      </c>
      <c r="F686" s="2">
        <v>7122.28</v>
      </c>
      <c r="G686">
        <v>47</v>
      </c>
      <c r="H686" t="s">
        <v>29</v>
      </c>
      <c r="I686" s="2">
        <v>2357.9499999999998</v>
      </c>
      <c r="J686" s="2">
        <v>2693.33</v>
      </c>
      <c r="K686" t="s">
        <v>30</v>
      </c>
      <c r="L686" s="5">
        <v>0.18</v>
      </c>
      <c r="M686" t="s">
        <v>27</v>
      </c>
      <c r="N686" t="s">
        <v>19</v>
      </c>
      <c r="O686" t="s">
        <v>37</v>
      </c>
      <c r="P686" s="4">
        <f t="shared" si="20"/>
        <v>103800.9382</v>
      </c>
      <c r="Q686" s="4">
        <f t="shared" si="21"/>
        <v>-7022.7117999999891</v>
      </c>
      <c r="R686" t="str">
        <f>IF( Table1[[#This Row],[Total Amount after sale]] &gt; 0,"PROFIT","LOSS")</f>
        <v>LOSS</v>
      </c>
      <c r="S686" s="3">
        <f>(Table1[[#This Row],[Total Amount after sale]]/Table1[[#This Row],[Price after discount]])</f>
        <v>-6.7655571537020939E-2</v>
      </c>
    </row>
    <row r="687" spans="1:19" x14ac:dyDescent="0.3">
      <c r="A687">
        <v>1003</v>
      </c>
      <c r="B687" s="1">
        <v>45183</v>
      </c>
      <c r="C687" s="1">
        <f>DATE(YEAR(Table1[[#This Row],[Sale_Date]]), MONTH(Table1[[#This Row],[Sale_Date]]), 1)</f>
        <v>45170</v>
      </c>
      <c r="D687" t="s">
        <v>14</v>
      </c>
      <c r="E687" t="s">
        <v>21</v>
      </c>
      <c r="F687" s="2">
        <v>3755.88</v>
      </c>
      <c r="G687">
        <v>15</v>
      </c>
      <c r="H687" t="s">
        <v>29</v>
      </c>
      <c r="I687" s="2">
        <v>3286.24</v>
      </c>
      <c r="J687" s="2">
        <v>3388.8399999999901</v>
      </c>
      <c r="K687" t="s">
        <v>17</v>
      </c>
      <c r="L687" s="5">
        <v>0.09</v>
      </c>
      <c r="M687" t="s">
        <v>31</v>
      </c>
      <c r="N687" t="s">
        <v>22</v>
      </c>
      <c r="O687" t="s">
        <v>23</v>
      </c>
      <c r="P687" s="4">
        <f t="shared" si="20"/>
        <v>46257.665999999866</v>
      </c>
      <c r="Q687" s="4">
        <f t="shared" si="21"/>
        <v>-3035.9340000001271</v>
      </c>
      <c r="R687" t="str">
        <f>IF( Table1[[#This Row],[Total Amount after sale]] &gt; 0,"PROFIT","LOSS")</f>
        <v>LOSS</v>
      </c>
      <c r="S687" s="3">
        <f>(Table1[[#This Row],[Total Amount after sale]]/Table1[[#This Row],[Price after discount]])</f>
        <v>-6.563093779958841E-2</v>
      </c>
    </row>
    <row r="688" spans="1:19" x14ac:dyDescent="0.3">
      <c r="A688">
        <v>1074</v>
      </c>
      <c r="B688" s="1">
        <v>45183</v>
      </c>
      <c r="C688" s="1">
        <f>DATE(YEAR(Table1[[#This Row],[Sale_Date]]), MONTH(Table1[[#This Row],[Sale_Date]]), 1)</f>
        <v>45170</v>
      </c>
      <c r="D688" t="s">
        <v>24</v>
      </c>
      <c r="E688" t="s">
        <v>25</v>
      </c>
      <c r="F688" s="2">
        <v>8389.93</v>
      </c>
      <c r="G688">
        <v>29</v>
      </c>
      <c r="H688" t="s">
        <v>16</v>
      </c>
      <c r="I688" s="2">
        <v>173.67</v>
      </c>
      <c r="J688" s="2">
        <v>565.62</v>
      </c>
      <c r="K688" t="s">
        <v>17</v>
      </c>
      <c r="L688" s="5">
        <v>0.3</v>
      </c>
      <c r="M688" t="s">
        <v>18</v>
      </c>
      <c r="N688" t="s">
        <v>19</v>
      </c>
      <c r="O688" t="s">
        <v>28</v>
      </c>
      <c r="P688" s="4">
        <f t="shared" si="20"/>
        <v>11482.085999999999</v>
      </c>
      <c r="Q688" s="4">
        <f t="shared" si="21"/>
        <v>6445.655999999999</v>
      </c>
      <c r="R688" t="str">
        <f>IF( Table1[[#This Row],[Total Amount after sale]] &gt; 0,"PROFIT","LOSS")</f>
        <v>PROFIT</v>
      </c>
      <c r="S688" s="3">
        <f>(Table1[[#This Row],[Total Amount after sale]]/Table1[[#This Row],[Price after discount]])</f>
        <v>0.56136628832078073</v>
      </c>
    </row>
    <row r="689" spans="1:19" x14ac:dyDescent="0.3">
      <c r="A689">
        <v>1054</v>
      </c>
      <c r="B689" s="1">
        <v>45184</v>
      </c>
      <c r="C689" s="1">
        <f>DATE(YEAR(Table1[[#This Row],[Sale_Date]]), MONTH(Table1[[#This Row],[Sale_Date]]), 1)</f>
        <v>45170</v>
      </c>
      <c r="D689" t="s">
        <v>14</v>
      </c>
      <c r="E689" t="s">
        <v>25</v>
      </c>
      <c r="F689" s="2">
        <v>2509.63</v>
      </c>
      <c r="G689">
        <v>16</v>
      </c>
      <c r="H689" t="s">
        <v>35</v>
      </c>
      <c r="I689" s="2">
        <v>4557.79</v>
      </c>
      <c r="J689" s="2">
        <v>5043.3599999999997</v>
      </c>
      <c r="K689" t="s">
        <v>17</v>
      </c>
      <c r="L689" s="5">
        <v>0.14000000000000001</v>
      </c>
      <c r="M689" t="s">
        <v>31</v>
      </c>
      <c r="N689" t="s">
        <v>22</v>
      </c>
      <c r="O689" t="s">
        <v>32</v>
      </c>
      <c r="P689" s="4">
        <f t="shared" si="20"/>
        <v>69396.633600000001</v>
      </c>
      <c r="Q689" s="4">
        <f t="shared" si="21"/>
        <v>-3528.0063999999984</v>
      </c>
      <c r="R689" t="str">
        <f>IF( Table1[[#This Row],[Total Amount after sale]] &gt; 0,"PROFIT","LOSS")</f>
        <v>LOSS</v>
      </c>
      <c r="S689" s="3">
        <f>(Table1[[#This Row],[Total Amount after sale]]/Table1[[#This Row],[Price after discount]])</f>
        <v>-5.083829311282325E-2</v>
      </c>
    </row>
    <row r="690" spans="1:19" x14ac:dyDescent="0.3">
      <c r="A690">
        <v>1006</v>
      </c>
      <c r="B690" s="1">
        <v>45185</v>
      </c>
      <c r="C690" s="1">
        <f>DATE(YEAR(Table1[[#This Row],[Sale_Date]]), MONTH(Table1[[#This Row],[Sale_Date]]), 1)</f>
        <v>45170</v>
      </c>
      <c r="D690" t="s">
        <v>14</v>
      </c>
      <c r="E690" t="s">
        <v>15</v>
      </c>
      <c r="F690" s="2">
        <v>8995.75</v>
      </c>
      <c r="G690">
        <v>49</v>
      </c>
      <c r="H690" t="s">
        <v>26</v>
      </c>
      <c r="I690" s="2">
        <v>2843.76</v>
      </c>
      <c r="J690" s="2">
        <v>3146.6</v>
      </c>
      <c r="K690" t="s">
        <v>30</v>
      </c>
      <c r="L690" s="5">
        <v>0.08</v>
      </c>
      <c r="M690" t="s">
        <v>18</v>
      </c>
      <c r="N690" t="s">
        <v>22</v>
      </c>
      <c r="O690" t="s">
        <v>20</v>
      </c>
      <c r="P690" s="4">
        <f t="shared" si="20"/>
        <v>141848.728</v>
      </c>
      <c r="Q690" s="4">
        <f t="shared" si="21"/>
        <v>2504.4879999999816</v>
      </c>
      <c r="R690" t="str">
        <f>IF( Table1[[#This Row],[Total Amount after sale]] &gt; 0,"PROFIT","LOSS")</f>
        <v>PROFIT</v>
      </c>
      <c r="S690" s="3">
        <f>(Table1[[#This Row],[Total Amount after sale]]/Table1[[#This Row],[Price after discount]])</f>
        <v>1.7656048350324166E-2</v>
      </c>
    </row>
    <row r="691" spans="1:19" x14ac:dyDescent="0.3">
      <c r="A691">
        <v>1012</v>
      </c>
      <c r="B691" s="1">
        <v>45185</v>
      </c>
      <c r="C691" s="1">
        <f>DATE(YEAR(Table1[[#This Row],[Sale_Date]]), MONTH(Table1[[#This Row],[Sale_Date]]), 1)</f>
        <v>45170</v>
      </c>
      <c r="D691" t="s">
        <v>24</v>
      </c>
      <c r="E691" t="s">
        <v>25</v>
      </c>
      <c r="F691" s="2">
        <v>1916.08</v>
      </c>
      <c r="G691">
        <v>19</v>
      </c>
      <c r="H691" t="s">
        <v>35</v>
      </c>
      <c r="I691" s="2">
        <v>1427.42</v>
      </c>
      <c r="J691" s="2">
        <v>1763.69</v>
      </c>
      <c r="K691" t="s">
        <v>30</v>
      </c>
      <c r="L691" s="5">
        <v>0.03</v>
      </c>
      <c r="M691" t="s">
        <v>18</v>
      </c>
      <c r="N691" t="s">
        <v>22</v>
      </c>
      <c r="O691" t="s">
        <v>28</v>
      </c>
      <c r="P691" s="4">
        <f t="shared" si="20"/>
        <v>32504.806699999997</v>
      </c>
      <c r="Q691" s="4">
        <f t="shared" si="21"/>
        <v>5383.8266999999969</v>
      </c>
      <c r="R691" t="str">
        <f>IF( Table1[[#This Row],[Total Amount after sale]] &gt; 0,"PROFIT","LOSS")</f>
        <v>PROFIT</v>
      </c>
      <c r="S691" s="3">
        <f>(Table1[[#This Row],[Total Amount after sale]]/Table1[[#This Row],[Price after discount]])</f>
        <v>0.16563170947883216</v>
      </c>
    </row>
    <row r="692" spans="1:19" x14ac:dyDescent="0.3">
      <c r="A692">
        <v>1100</v>
      </c>
      <c r="B692" s="1">
        <v>45186</v>
      </c>
      <c r="C692" s="1">
        <f>DATE(YEAR(Table1[[#This Row],[Sale_Date]]), MONTH(Table1[[#This Row],[Sale_Date]]), 1)</f>
        <v>45170</v>
      </c>
      <c r="D692" t="s">
        <v>33</v>
      </c>
      <c r="E692" t="s">
        <v>15</v>
      </c>
      <c r="F692" s="2">
        <v>4795.12</v>
      </c>
      <c r="G692">
        <v>17</v>
      </c>
      <c r="H692" t="s">
        <v>35</v>
      </c>
      <c r="I692" s="2">
        <v>83.64</v>
      </c>
      <c r="J692" s="2">
        <v>528.49</v>
      </c>
      <c r="K692" t="s">
        <v>30</v>
      </c>
      <c r="L692" s="5">
        <v>0.13</v>
      </c>
      <c r="M692" t="s">
        <v>31</v>
      </c>
      <c r="N692" t="s">
        <v>19</v>
      </c>
      <c r="O692" t="s">
        <v>53</v>
      </c>
      <c r="P692" s="4">
        <f t="shared" si="20"/>
        <v>7816.3670999999995</v>
      </c>
      <c r="Q692" s="4">
        <f t="shared" si="21"/>
        <v>6394.4871000000003</v>
      </c>
      <c r="R692" t="str">
        <f>IF( Table1[[#This Row],[Total Amount after sale]] &gt; 0,"PROFIT","LOSS")</f>
        <v>PROFIT</v>
      </c>
      <c r="S692" s="3">
        <f>(Table1[[#This Row],[Total Amount after sale]]/Table1[[#This Row],[Price after discount]])</f>
        <v>0.81808940370776606</v>
      </c>
    </row>
    <row r="693" spans="1:19" x14ac:dyDescent="0.3">
      <c r="A693">
        <v>1093</v>
      </c>
      <c r="B693" s="1">
        <v>45187</v>
      </c>
      <c r="C693" s="1">
        <f>DATE(YEAR(Table1[[#This Row],[Sale_Date]]), MONTH(Table1[[#This Row],[Sale_Date]]), 1)</f>
        <v>45170</v>
      </c>
      <c r="D693" t="s">
        <v>24</v>
      </c>
      <c r="E693" t="s">
        <v>21</v>
      </c>
      <c r="F693" s="2">
        <v>4040.25</v>
      </c>
      <c r="G693">
        <v>19</v>
      </c>
      <c r="H693" t="s">
        <v>35</v>
      </c>
      <c r="I693" s="2">
        <v>3808.59</v>
      </c>
      <c r="J693" s="2">
        <v>3844.51</v>
      </c>
      <c r="K693" t="s">
        <v>30</v>
      </c>
      <c r="L693" s="5">
        <v>0.21</v>
      </c>
      <c r="M693" t="s">
        <v>31</v>
      </c>
      <c r="N693" t="s">
        <v>19</v>
      </c>
      <c r="O693" t="s">
        <v>47</v>
      </c>
      <c r="P693" s="4">
        <f t="shared" si="20"/>
        <v>57706.095100000006</v>
      </c>
      <c r="Q693" s="4">
        <f t="shared" si="21"/>
        <v>-14657.114899999997</v>
      </c>
      <c r="R693" t="str">
        <f>IF( Table1[[#This Row],[Total Amount after sale]] &gt; 0,"PROFIT","LOSS")</f>
        <v>LOSS</v>
      </c>
      <c r="S693" s="3">
        <f>(Table1[[#This Row],[Total Amount after sale]]/Table1[[#This Row],[Price after discount]])</f>
        <v>-0.2539959578723946</v>
      </c>
    </row>
    <row r="694" spans="1:19" x14ac:dyDescent="0.3">
      <c r="A694">
        <v>1057</v>
      </c>
      <c r="B694" s="1">
        <v>45187</v>
      </c>
      <c r="C694" s="1">
        <f>DATE(YEAR(Table1[[#This Row],[Sale_Date]]), MONTH(Table1[[#This Row],[Sale_Date]]), 1)</f>
        <v>45170</v>
      </c>
      <c r="D694" t="s">
        <v>33</v>
      </c>
      <c r="E694" t="s">
        <v>21</v>
      </c>
      <c r="F694" s="2">
        <v>7315.73</v>
      </c>
      <c r="G694">
        <v>25</v>
      </c>
      <c r="H694" t="s">
        <v>26</v>
      </c>
      <c r="I694" s="2">
        <v>1821.91</v>
      </c>
      <c r="J694" s="2">
        <v>2027.74</v>
      </c>
      <c r="K694" t="s">
        <v>30</v>
      </c>
      <c r="L694" s="5">
        <v>0.02</v>
      </c>
      <c r="M694" t="s">
        <v>27</v>
      </c>
      <c r="N694" t="s">
        <v>22</v>
      </c>
      <c r="O694" t="s">
        <v>37</v>
      </c>
      <c r="P694" s="4">
        <f t="shared" si="20"/>
        <v>49679.63</v>
      </c>
      <c r="Q694" s="4">
        <f t="shared" si="21"/>
        <v>4131.8799999999956</v>
      </c>
      <c r="R694" t="str">
        <f>IF( Table1[[#This Row],[Total Amount after sale]] &gt; 0,"PROFIT","LOSS")</f>
        <v>PROFIT</v>
      </c>
      <c r="S694" s="3">
        <f>(Table1[[#This Row],[Total Amount after sale]]/Table1[[#This Row],[Price after discount]])</f>
        <v>8.317050670465935E-2</v>
      </c>
    </row>
    <row r="695" spans="1:19" x14ac:dyDescent="0.3">
      <c r="A695">
        <v>1006</v>
      </c>
      <c r="B695" s="1">
        <v>45187</v>
      </c>
      <c r="C695" s="1">
        <f>DATE(YEAR(Table1[[#This Row],[Sale_Date]]), MONTH(Table1[[#This Row],[Sale_Date]]), 1)</f>
        <v>45170</v>
      </c>
      <c r="D695" t="s">
        <v>24</v>
      </c>
      <c r="E695" t="s">
        <v>21</v>
      </c>
      <c r="F695" s="2">
        <v>776.7</v>
      </c>
      <c r="G695">
        <v>45</v>
      </c>
      <c r="H695" t="s">
        <v>16</v>
      </c>
      <c r="I695" s="2">
        <v>1623.63</v>
      </c>
      <c r="J695" s="2">
        <v>1814.63</v>
      </c>
      <c r="K695" t="s">
        <v>30</v>
      </c>
      <c r="L695" s="5">
        <v>0.28999999999999998</v>
      </c>
      <c r="M695" t="s">
        <v>27</v>
      </c>
      <c r="N695" t="s">
        <v>22</v>
      </c>
      <c r="O695" t="s">
        <v>47</v>
      </c>
      <c r="P695" s="4">
        <f t="shared" si="20"/>
        <v>57977.428500000002</v>
      </c>
      <c r="Q695" s="4">
        <f t="shared" si="21"/>
        <v>-15085.9215</v>
      </c>
      <c r="R695" t="str">
        <f>IF( Table1[[#This Row],[Total Amount after sale]] &gt; 0,"PROFIT","LOSS")</f>
        <v>LOSS</v>
      </c>
      <c r="S695" s="3">
        <f>(Table1[[#This Row],[Total Amount after sale]]/Table1[[#This Row],[Price after discount]])</f>
        <v>-0.26020335655280052</v>
      </c>
    </row>
    <row r="696" spans="1:19" x14ac:dyDescent="0.3">
      <c r="A696">
        <v>1085</v>
      </c>
      <c r="B696" s="1">
        <v>45187</v>
      </c>
      <c r="C696" s="1">
        <f>DATE(YEAR(Table1[[#This Row],[Sale_Date]]), MONTH(Table1[[#This Row],[Sale_Date]]), 1)</f>
        <v>45170</v>
      </c>
      <c r="D696" t="s">
        <v>38</v>
      </c>
      <c r="E696" t="s">
        <v>34</v>
      </c>
      <c r="F696" s="2">
        <v>4716.47</v>
      </c>
      <c r="G696">
        <v>40</v>
      </c>
      <c r="H696" t="s">
        <v>29</v>
      </c>
      <c r="I696" s="2">
        <v>4083.23</v>
      </c>
      <c r="J696" s="2">
        <v>4521.57</v>
      </c>
      <c r="K696" t="s">
        <v>30</v>
      </c>
      <c r="L696" s="5">
        <v>0.27</v>
      </c>
      <c r="M696" t="s">
        <v>27</v>
      </c>
      <c r="N696" t="s">
        <v>22</v>
      </c>
      <c r="O696" t="s">
        <v>48</v>
      </c>
      <c r="P696" s="4">
        <f t="shared" si="20"/>
        <v>132029.84399999998</v>
      </c>
      <c r="Q696" s="4">
        <f t="shared" si="21"/>
        <v>-31299.356000000007</v>
      </c>
      <c r="R696" t="str">
        <f>IF( Table1[[#This Row],[Total Amount after sale]] &gt; 0,"PROFIT","LOSS")</f>
        <v>LOSS</v>
      </c>
      <c r="S696" s="3">
        <f>(Table1[[#This Row],[Total Amount after sale]]/Table1[[#This Row],[Price after discount]])</f>
        <v>-0.23706273560392915</v>
      </c>
    </row>
    <row r="697" spans="1:19" x14ac:dyDescent="0.3">
      <c r="A697">
        <v>1008</v>
      </c>
      <c r="B697" s="1">
        <v>45187</v>
      </c>
      <c r="C697" s="1">
        <f>DATE(YEAR(Table1[[#This Row],[Sale_Date]]), MONTH(Table1[[#This Row],[Sale_Date]]), 1)</f>
        <v>45170</v>
      </c>
      <c r="D697" t="s">
        <v>33</v>
      </c>
      <c r="E697" t="s">
        <v>25</v>
      </c>
      <c r="F697" s="2">
        <v>7688.5</v>
      </c>
      <c r="G697">
        <v>32</v>
      </c>
      <c r="H697" t="s">
        <v>26</v>
      </c>
      <c r="I697" s="2">
        <v>921.32</v>
      </c>
      <c r="J697" s="2">
        <v>1236.0999999999999</v>
      </c>
      <c r="K697" t="s">
        <v>30</v>
      </c>
      <c r="L697" s="5">
        <v>0.12</v>
      </c>
      <c r="M697" t="s">
        <v>31</v>
      </c>
      <c r="N697" t="s">
        <v>19</v>
      </c>
      <c r="O697" t="s">
        <v>44</v>
      </c>
      <c r="P697" s="4">
        <f t="shared" si="20"/>
        <v>34808.576000000001</v>
      </c>
      <c r="Q697" s="4">
        <f t="shared" si="21"/>
        <v>5326.3359999999993</v>
      </c>
      <c r="R697" t="str">
        <f>IF( Table1[[#This Row],[Total Amount after sale]] &gt; 0,"PROFIT","LOSS")</f>
        <v>PROFIT</v>
      </c>
      <c r="S697" s="3">
        <f>(Table1[[#This Row],[Total Amount after sale]]/Table1[[#This Row],[Price after discount]])</f>
        <v>0.1530179229394503</v>
      </c>
    </row>
    <row r="698" spans="1:19" x14ac:dyDescent="0.3">
      <c r="A698">
        <v>1025</v>
      </c>
      <c r="B698" s="1">
        <v>45188</v>
      </c>
      <c r="C698" s="1">
        <f>DATE(YEAR(Table1[[#This Row],[Sale_Date]]), MONTH(Table1[[#This Row],[Sale_Date]]), 1)</f>
        <v>45170</v>
      </c>
      <c r="D698" t="s">
        <v>42</v>
      </c>
      <c r="E698" t="s">
        <v>34</v>
      </c>
      <c r="F698" s="2">
        <v>8564.24</v>
      </c>
      <c r="G698">
        <v>26</v>
      </c>
      <c r="H698" t="s">
        <v>35</v>
      </c>
      <c r="I698" s="2">
        <v>2007.32</v>
      </c>
      <c r="J698" s="2">
        <v>2202.87</v>
      </c>
      <c r="K698" t="s">
        <v>17</v>
      </c>
      <c r="L698" s="5">
        <v>0.11</v>
      </c>
      <c r="M698" t="s">
        <v>18</v>
      </c>
      <c r="N698" t="s">
        <v>19</v>
      </c>
      <c r="O698" t="s">
        <v>52</v>
      </c>
      <c r="P698" s="4">
        <f t="shared" si="20"/>
        <v>50974.411800000002</v>
      </c>
      <c r="Q698" s="4">
        <f t="shared" si="21"/>
        <v>-1215.908199999998</v>
      </c>
      <c r="R698" t="str">
        <f>IF( Table1[[#This Row],[Total Amount after sale]] &gt; 0,"PROFIT","LOSS")</f>
        <v>LOSS</v>
      </c>
      <c r="S698" s="3">
        <f>(Table1[[#This Row],[Total Amount after sale]]/Table1[[#This Row],[Price after discount]])</f>
        <v>-2.3853305159668325E-2</v>
      </c>
    </row>
    <row r="699" spans="1:19" x14ac:dyDescent="0.3">
      <c r="A699">
        <v>1039</v>
      </c>
      <c r="B699" s="1">
        <v>45188</v>
      </c>
      <c r="C699" s="1">
        <f>DATE(YEAR(Table1[[#This Row],[Sale_Date]]), MONTH(Table1[[#This Row],[Sale_Date]]), 1)</f>
        <v>45170</v>
      </c>
      <c r="D699" t="s">
        <v>14</v>
      </c>
      <c r="E699" t="s">
        <v>25</v>
      </c>
      <c r="F699" s="2">
        <v>4306.0200000000004</v>
      </c>
      <c r="G699">
        <v>28</v>
      </c>
      <c r="H699" t="s">
        <v>29</v>
      </c>
      <c r="I699" s="2">
        <v>666.84</v>
      </c>
      <c r="J699" s="2">
        <v>817.36</v>
      </c>
      <c r="K699" t="s">
        <v>17</v>
      </c>
      <c r="L699" s="5">
        <v>0.02</v>
      </c>
      <c r="M699" t="s">
        <v>18</v>
      </c>
      <c r="N699" t="s">
        <v>22</v>
      </c>
      <c r="O699" t="s">
        <v>32</v>
      </c>
      <c r="P699" s="4">
        <f t="shared" si="20"/>
        <v>22428.358399999997</v>
      </c>
      <c r="Q699" s="4">
        <f t="shared" si="21"/>
        <v>3756.8383999999983</v>
      </c>
      <c r="R699" t="str">
        <f>IF( Table1[[#This Row],[Total Amount after sale]] &gt; 0,"PROFIT","LOSS")</f>
        <v>PROFIT</v>
      </c>
      <c r="S699" s="3">
        <f>(Table1[[#This Row],[Total Amount after sale]]/Table1[[#This Row],[Price after discount]])</f>
        <v>0.16750394001194482</v>
      </c>
    </row>
    <row r="700" spans="1:19" x14ac:dyDescent="0.3">
      <c r="A700">
        <v>1037</v>
      </c>
      <c r="B700" s="1">
        <v>45188</v>
      </c>
      <c r="C700" s="1">
        <f>DATE(YEAR(Table1[[#This Row],[Sale_Date]]), MONTH(Table1[[#This Row],[Sale_Date]]), 1)</f>
        <v>45170</v>
      </c>
      <c r="D700" t="s">
        <v>42</v>
      </c>
      <c r="E700" t="s">
        <v>25</v>
      </c>
      <c r="F700" s="2">
        <v>4606.2</v>
      </c>
      <c r="G700">
        <v>17</v>
      </c>
      <c r="H700" t="s">
        <v>35</v>
      </c>
      <c r="I700" s="2">
        <v>1308.58</v>
      </c>
      <c r="J700" s="2">
        <v>1575.59</v>
      </c>
      <c r="K700" t="s">
        <v>30</v>
      </c>
      <c r="L700" s="5">
        <v>0.3</v>
      </c>
      <c r="M700" t="s">
        <v>18</v>
      </c>
      <c r="N700" t="s">
        <v>19</v>
      </c>
      <c r="O700" t="s">
        <v>43</v>
      </c>
      <c r="P700" s="4">
        <f t="shared" si="20"/>
        <v>18749.520999999997</v>
      </c>
      <c r="Q700" s="4">
        <f t="shared" si="21"/>
        <v>-3496.3390000000027</v>
      </c>
      <c r="R700" t="str">
        <f>IF( Table1[[#This Row],[Total Amount after sale]] &gt; 0,"PROFIT","LOSS")</f>
        <v>LOSS</v>
      </c>
      <c r="S700" s="3">
        <f>(Table1[[#This Row],[Total Amount after sale]]/Table1[[#This Row],[Price after discount]])</f>
        <v>-0.18647617717807316</v>
      </c>
    </row>
    <row r="701" spans="1:19" x14ac:dyDescent="0.3">
      <c r="A701">
        <v>1019</v>
      </c>
      <c r="B701" s="1">
        <v>45188</v>
      </c>
      <c r="C701" s="1">
        <f>DATE(YEAR(Table1[[#This Row],[Sale_Date]]), MONTH(Table1[[#This Row],[Sale_Date]]), 1)</f>
        <v>45170</v>
      </c>
      <c r="D701" t="s">
        <v>33</v>
      </c>
      <c r="E701" t="s">
        <v>21</v>
      </c>
      <c r="F701" s="2">
        <v>6705.4</v>
      </c>
      <c r="G701">
        <v>45</v>
      </c>
      <c r="H701" t="s">
        <v>29</v>
      </c>
      <c r="I701" s="2">
        <v>2590.64</v>
      </c>
      <c r="J701" s="2">
        <v>3036.18</v>
      </c>
      <c r="K701" t="s">
        <v>30</v>
      </c>
      <c r="L701" s="5">
        <v>0.05</v>
      </c>
      <c r="M701" t="s">
        <v>27</v>
      </c>
      <c r="N701" t="s">
        <v>22</v>
      </c>
      <c r="O701" t="s">
        <v>37</v>
      </c>
      <c r="P701" s="4">
        <f t="shared" si="20"/>
        <v>129796.69499999998</v>
      </c>
      <c r="Q701" s="4">
        <f t="shared" si="21"/>
        <v>13217.89499999999</v>
      </c>
      <c r="R701" t="str">
        <f>IF( Table1[[#This Row],[Total Amount after sale]] &gt; 0,"PROFIT","LOSS")</f>
        <v>PROFIT</v>
      </c>
      <c r="S701" s="3">
        <f>(Table1[[#This Row],[Total Amount after sale]]/Table1[[#This Row],[Price after discount]])</f>
        <v>0.10183537415956539</v>
      </c>
    </row>
    <row r="702" spans="1:19" x14ac:dyDescent="0.3">
      <c r="A702">
        <v>1097</v>
      </c>
      <c r="B702" s="1">
        <v>45189</v>
      </c>
      <c r="C702" s="1">
        <f>DATE(YEAR(Table1[[#This Row],[Sale_Date]]), MONTH(Table1[[#This Row],[Sale_Date]]), 1)</f>
        <v>45170</v>
      </c>
      <c r="D702" t="s">
        <v>24</v>
      </c>
      <c r="E702" t="s">
        <v>15</v>
      </c>
      <c r="F702" s="2">
        <v>6759.76</v>
      </c>
      <c r="G702">
        <v>45</v>
      </c>
      <c r="H702" t="s">
        <v>29</v>
      </c>
      <c r="I702" s="2">
        <v>1525.13</v>
      </c>
      <c r="J702" s="2">
        <v>1868.32</v>
      </c>
      <c r="K702" t="s">
        <v>17</v>
      </c>
      <c r="L702" s="5">
        <v>0.24</v>
      </c>
      <c r="M702" t="s">
        <v>18</v>
      </c>
      <c r="N702" t="s">
        <v>22</v>
      </c>
      <c r="O702" t="s">
        <v>45</v>
      </c>
      <c r="P702" s="4">
        <f t="shared" si="20"/>
        <v>63896.543999999994</v>
      </c>
      <c r="Q702" s="4">
        <f t="shared" si="21"/>
        <v>-4734.3060000000069</v>
      </c>
      <c r="R702" t="str">
        <f>IF( Table1[[#This Row],[Total Amount after sale]] &gt; 0,"PROFIT","LOSS")</f>
        <v>LOSS</v>
      </c>
      <c r="S702" s="3">
        <f>(Table1[[#This Row],[Total Amount after sale]]/Table1[[#This Row],[Price after discount]])</f>
        <v>-7.4093303074419914E-2</v>
      </c>
    </row>
    <row r="703" spans="1:19" x14ac:dyDescent="0.3">
      <c r="A703">
        <v>1015</v>
      </c>
      <c r="B703" s="1">
        <v>45190</v>
      </c>
      <c r="C703" s="1">
        <f>DATE(YEAR(Table1[[#This Row],[Sale_Date]]), MONTH(Table1[[#This Row],[Sale_Date]]), 1)</f>
        <v>45170</v>
      </c>
      <c r="D703" t="s">
        <v>24</v>
      </c>
      <c r="E703" t="s">
        <v>25</v>
      </c>
      <c r="F703" s="2">
        <v>4631.2299999999996</v>
      </c>
      <c r="G703">
        <v>30</v>
      </c>
      <c r="H703" t="s">
        <v>26</v>
      </c>
      <c r="I703" s="2">
        <v>261.56</v>
      </c>
      <c r="J703" s="2">
        <v>371.4</v>
      </c>
      <c r="K703" t="s">
        <v>17</v>
      </c>
      <c r="L703" s="5">
        <v>0.2</v>
      </c>
      <c r="M703" t="s">
        <v>27</v>
      </c>
      <c r="N703" t="s">
        <v>22</v>
      </c>
      <c r="O703" t="s">
        <v>28</v>
      </c>
      <c r="P703" s="4">
        <f t="shared" si="20"/>
        <v>8913.6</v>
      </c>
      <c r="Q703" s="4">
        <f t="shared" si="21"/>
        <v>1066.8000000000002</v>
      </c>
      <c r="R703" t="str">
        <f>IF( Table1[[#This Row],[Total Amount after sale]] &gt; 0,"PROFIT","LOSS")</f>
        <v>PROFIT</v>
      </c>
      <c r="S703" s="3">
        <f>(Table1[[#This Row],[Total Amount after sale]]/Table1[[#This Row],[Price after discount]])</f>
        <v>0.11968228325255791</v>
      </c>
    </row>
    <row r="704" spans="1:19" x14ac:dyDescent="0.3">
      <c r="A704">
        <v>1084</v>
      </c>
      <c r="B704" s="1">
        <v>45190</v>
      </c>
      <c r="C704" s="1">
        <f>DATE(YEAR(Table1[[#This Row],[Sale_Date]]), MONTH(Table1[[#This Row],[Sale_Date]]), 1)</f>
        <v>45170</v>
      </c>
      <c r="D704" t="s">
        <v>38</v>
      </c>
      <c r="E704" t="s">
        <v>25</v>
      </c>
      <c r="F704" s="2">
        <v>2813.31</v>
      </c>
      <c r="G704">
        <v>36</v>
      </c>
      <c r="H704" t="s">
        <v>16</v>
      </c>
      <c r="I704" s="2">
        <v>1458.77</v>
      </c>
      <c r="J704" s="2">
        <v>1485.75</v>
      </c>
      <c r="K704" t="s">
        <v>30</v>
      </c>
      <c r="L704" s="5">
        <v>0.25</v>
      </c>
      <c r="M704" t="s">
        <v>31</v>
      </c>
      <c r="N704" t="s">
        <v>19</v>
      </c>
      <c r="O704" t="s">
        <v>39</v>
      </c>
      <c r="P704" s="4">
        <f t="shared" si="20"/>
        <v>40115.25</v>
      </c>
      <c r="Q704" s="4">
        <f t="shared" si="21"/>
        <v>-12400.47</v>
      </c>
      <c r="R704" t="str">
        <f>IF( Table1[[#This Row],[Total Amount after sale]] &gt; 0,"PROFIT","LOSS")</f>
        <v>LOSS</v>
      </c>
      <c r="S704" s="3">
        <f>(Table1[[#This Row],[Total Amount after sale]]/Table1[[#This Row],[Price after discount]])</f>
        <v>-0.30912109484547645</v>
      </c>
    </row>
    <row r="705" spans="1:19" x14ac:dyDescent="0.3">
      <c r="A705">
        <v>1076</v>
      </c>
      <c r="B705" s="1">
        <v>45190</v>
      </c>
      <c r="C705" s="1">
        <f>DATE(YEAR(Table1[[#This Row],[Sale_Date]]), MONTH(Table1[[#This Row],[Sale_Date]]), 1)</f>
        <v>45170</v>
      </c>
      <c r="D705" t="s">
        <v>14</v>
      </c>
      <c r="E705" t="s">
        <v>15</v>
      </c>
      <c r="F705" s="2">
        <v>611.52</v>
      </c>
      <c r="G705">
        <v>26</v>
      </c>
      <c r="H705" t="s">
        <v>35</v>
      </c>
      <c r="I705" s="2">
        <v>1762</v>
      </c>
      <c r="J705" s="2">
        <v>2002.95</v>
      </c>
      <c r="K705" t="s">
        <v>17</v>
      </c>
      <c r="L705" s="5">
        <v>0.28999999999999998</v>
      </c>
      <c r="M705" t="s">
        <v>31</v>
      </c>
      <c r="N705" t="s">
        <v>22</v>
      </c>
      <c r="O705" t="s">
        <v>20</v>
      </c>
      <c r="P705" s="4">
        <f t="shared" si="20"/>
        <v>36974.456999999995</v>
      </c>
      <c r="Q705" s="4">
        <f t="shared" si="21"/>
        <v>-8837.5430000000015</v>
      </c>
      <c r="R705" t="str">
        <f>IF( Table1[[#This Row],[Total Amount after sale]] &gt; 0,"PROFIT","LOSS")</f>
        <v>LOSS</v>
      </c>
      <c r="S705" s="3">
        <f>(Table1[[#This Row],[Total Amount after sale]]/Table1[[#This Row],[Price after discount]])</f>
        <v>-0.23901751958115308</v>
      </c>
    </row>
    <row r="706" spans="1:19" x14ac:dyDescent="0.3">
      <c r="A706">
        <v>1062</v>
      </c>
      <c r="B706" s="1">
        <v>45190</v>
      </c>
      <c r="C706" s="1">
        <f>DATE(YEAR(Table1[[#This Row],[Sale_Date]]), MONTH(Table1[[#This Row],[Sale_Date]]), 1)</f>
        <v>45170</v>
      </c>
      <c r="D706" t="s">
        <v>24</v>
      </c>
      <c r="E706" t="s">
        <v>15</v>
      </c>
      <c r="F706" s="2">
        <v>2994.59</v>
      </c>
      <c r="G706">
        <v>37</v>
      </c>
      <c r="H706" t="s">
        <v>35</v>
      </c>
      <c r="I706" s="2">
        <v>4658.4399999999996</v>
      </c>
      <c r="J706" s="2">
        <v>4823.5</v>
      </c>
      <c r="K706" t="s">
        <v>17</v>
      </c>
      <c r="L706" s="5">
        <v>0.14000000000000001</v>
      </c>
      <c r="M706" t="s">
        <v>31</v>
      </c>
      <c r="N706" t="s">
        <v>19</v>
      </c>
      <c r="O706" t="s">
        <v>45</v>
      </c>
      <c r="P706" s="4">
        <f t="shared" ref="P706:P769" si="22" xml:space="preserve"> J706 * (1 - L706) * G706</f>
        <v>153483.76999999999</v>
      </c>
      <c r="Q706" s="4">
        <f t="shared" ref="Q706:Q769" si="23" xml:space="preserve"> (J706 * (1 - L706) - I706) * G706</f>
        <v>-18878.509999999984</v>
      </c>
      <c r="R706" t="str">
        <f>IF( Table1[[#This Row],[Total Amount after sale]] &gt; 0,"PROFIT","LOSS")</f>
        <v>LOSS</v>
      </c>
      <c r="S706" s="3">
        <f>(Table1[[#This Row],[Total Amount after sale]]/Table1[[#This Row],[Price after discount]])</f>
        <v>-0.12300004098153169</v>
      </c>
    </row>
    <row r="707" spans="1:19" x14ac:dyDescent="0.3">
      <c r="A707">
        <v>1061</v>
      </c>
      <c r="B707" s="1">
        <v>45190</v>
      </c>
      <c r="C707" s="1">
        <f>DATE(YEAR(Table1[[#This Row],[Sale_Date]]), MONTH(Table1[[#This Row],[Sale_Date]]), 1)</f>
        <v>45170</v>
      </c>
      <c r="D707" t="s">
        <v>33</v>
      </c>
      <c r="E707" t="s">
        <v>25</v>
      </c>
      <c r="F707" s="2">
        <v>9895.57</v>
      </c>
      <c r="G707">
        <v>25</v>
      </c>
      <c r="H707" t="s">
        <v>26</v>
      </c>
      <c r="I707" s="2">
        <v>2747.66</v>
      </c>
      <c r="J707" s="2">
        <v>3027.0099999999902</v>
      </c>
      <c r="K707" t="s">
        <v>30</v>
      </c>
      <c r="L707" s="5">
        <v>0.23</v>
      </c>
      <c r="M707" t="s">
        <v>18</v>
      </c>
      <c r="N707" t="s">
        <v>19</v>
      </c>
      <c r="O707" t="s">
        <v>44</v>
      </c>
      <c r="P707" s="4">
        <f t="shared" si="22"/>
        <v>58269.942499999808</v>
      </c>
      <c r="Q707" s="4">
        <f t="shared" si="23"/>
        <v>-10421.557500000188</v>
      </c>
      <c r="R707" t="str">
        <f>IF( Table1[[#This Row],[Total Amount after sale]] &gt; 0,"PROFIT","LOSS")</f>
        <v>LOSS</v>
      </c>
      <c r="S707" s="3">
        <f>(Table1[[#This Row],[Total Amount after sale]]/Table1[[#This Row],[Price after discount]])</f>
        <v>-0.17884962731858234</v>
      </c>
    </row>
    <row r="708" spans="1:19" x14ac:dyDescent="0.3">
      <c r="A708">
        <v>1015</v>
      </c>
      <c r="B708" s="1">
        <v>45191</v>
      </c>
      <c r="C708" s="1">
        <f>DATE(YEAR(Table1[[#This Row],[Sale_Date]]), MONTH(Table1[[#This Row],[Sale_Date]]), 1)</f>
        <v>45170</v>
      </c>
      <c r="D708" t="s">
        <v>24</v>
      </c>
      <c r="E708" t="s">
        <v>25</v>
      </c>
      <c r="F708" s="2">
        <v>9914.15</v>
      </c>
      <c r="G708">
        <v>22</v>
      </c>
      <c r="H708" t="s">
        <v>35</v>
      </c>
      <c r="I708" s="2">
        <v>4275.59</v>
      </c>
      <c r="J708" s="2">
        <v>4576.72</v>
      </c>
      <c r="K708" t="s">
        <v>17</v>
      </c>
      <c r="L708" s="5">
        <v>0.02</v>
      </c>
      <c r="M708" t="s">
        <v>18</v>
      </c>
      <c r="N708" t="s">
        <v>22</v>
      </c>
      <c r="O708" t="s">
        <v>28</v>
      </c>
      <c r="P708" s="4">
        <f t="shared" si="22"/>
        <v>98674.083199999994</v>
      </c>
      <c r="Q708" s="4">
        <f t="shared" si="23"/>
        <v>4611.1031999999923</v>
      </c>
      <c r="R708" t="str">
        <f>IF( Table1[[#This Row],[Total Amount after sale]] &gt; 0,"PROFIT","LOSS")</f>
        <v>PROFIT</v>
      </c>
      <c r="S708" s="3">
        <f>(Table1[[#This Row],[Total Amount after sale]]/Table1[[#This Row],[Price after discount]])</f>
        <v>4.6730641425407157E-2</v>
      </c>
    </row>
    <row r="709" spans="1:19" x14ac:dyDescent="0.3">
      <c r="A709">
        <v>1093</v>
      </c>
      <c r="B709" s="1">
        <v>45192</v>
      </c>
      <c r="C709" s="1">
        <f>DATE(YEAR(Table1[[#This Row],[Sale_Date]]), MONTH(Table1[[#This Row],[Sale_Date]]), 1)</f>
        <v>45170</v>
      </c>
      <c r="D709" t="s">
        <v>33</v>
      </c>
      <c r="E709" t="s">
        <v>15</v>
      </c>
      <c r="F709" s="2">
        <v>9787.4</v>
      </c>
      <c r="G709">
        <v>40</v>
      </c>
      <c r="H709" t="s">
        <v>16</v>
      </c>
      <c r="I709" s="2">
        <v>1047.25</v>
      </c>
      <c r="J709" s="2">
        <v>1075.8900000000001</v>
      </c>
      <c r="K709" t="s">
        <v>30</v>
      </c>
      <c r="L709" s="5">
        <v>0.28000000000000003</v>
      </c>
      <c r="M709" t="s">
        <v>31</v>
      </c>
      <c r="N709" t="s">
        <v>22</v>
      </c>
      <c r="O709" t="s">
        <v>53</v>
      </c>
      <c r="P709" s="4">
        <f t="shared" si="22"/>
        <v>30985.632000000001</v>
      </c>
      <c r="Q709" s="4">
        <f t="shared" si="23"/>
        <v>-10904.367999999999</v>
      </c>
      <c r="R709" t="str">
        <f>IF( Table1[[#This Row],[Total Amount after sale]] &gt; 0,"PROFIT","LOSS")</f>
        <v>LOSS</v>
      </c>
      <c r="S709" s="3">
        <f>(Table1[[#This Row],[Total Amount after sale]]/Table1[[#This Row],[Price after discount]])</f>
        <v>-0.35191691426529553</v>
      </c>
    </row>
    <row r="710" spans="1:19" x14ac:dyDescent="0.3">
      <c r="A710">
        <v>1100</v>
      </c>
      <c r="B710" s="1">
        <v>45192</v>
      </c>
      <c r="C710" s="1">
        <f>DATE(YEAR(Table1[[#This Row],[Sale_Date]]), MONTH(Table1[[#This Row],[Sale_Date]]), 1)</f>
        <v>45170</v>
      </c>
      <c r="D710" t="s">
        <v>33</v>
      </c>
      <c r="E710" t="s">
        <v>15</v>
      </c>
      <c r="F710" s="2">
        <v>797.87</v>
      </c>
      <c r="G710">
        <v>19</v>
      </c>
      <c r="H710" t="s">
        <v>35</v>
      </c>
      <c r="I710" s="2">
        <v>1820.89</v>
      </c>
      <c r="J710" s="2">
        <v>2257.92</v>
      </c>
      <c r="K710" t="s">
        <v>30</v>
      </c>
      <c r="L710" s="5">
        <v>0.12</v>
      </c>
      <c r="M710" t="s">
        <v>18</v>
      </c>
      <c r="N710" t="s">
        <v>22</v>
      </c>
      <c r="O710" t="s">
        <v>53</v>
      </c>
      <c r="P710" s="4">
        <f t="shared" si="22"/>
        <v>37752.422400000003</v>
      </c>
      <c r="Q710" s="4">
        <f t="shared" si="23"/>
        <v>3155.5124000000005</v>
      </c>
      <c r="R710" t="str">
        <f>IF( Table1[[#This Row],[Total Amount after sale]] &gt; 0,"PROFIT","LOSS")</f>
        <v>PROFIT</v>
      </c>
      <c r="S710" s="3">
        <f>(Table1[[#This Row],[Total Amount after sale]]/Table1[[#This Row],[Price after discount]])</f>
        <v>8.358436888012781E-2</v>
      </c>
    </row>
    <row r="711" spans="1:19" x14ac:dyDescent="0.3">
      <c r="A711">
        <v>1036</v>
      </c>
      <c r="B711" s="1">
        <v>45192</v>
      </c>
      <c r="C711" s="1">
        <f>DATE(YEAR(Table1[[#This Row],[Sale_Date]]), MONTH(Table1[[#This Row],[Sale_Date]]), 1)</f>
        <v>45170</v>
      </c>
      <c r="D711" t="s">
        <v>14</v>
      </c>
      <c r="E711" t="s">
        <v>15</v>
      </c>
      <c r="F711" s="2">
        <v>3971.23</v>
      </c>
      <c r="G711">
        <v>42</v>
      </c>
      <c r="H711" t="s">
        <v>16</v>
      </c>
      <c r="I711" s="2">
        <v>3549.43</v>
      </c>
      <c r="J711" s="2">
        <v>3967.6899999999901</v>
      </c>
      <c r="K711" t="s">
        <v>30</v>
      </c>
      <c r="L711" s="5">
        <v>0.14000000000000001</v>
      </c>
      <c r="M711" t="s">
        <v>27</v>
      </c>
      <c r="N711" t="s">
        <v>19</v>
      </c>
      <c r="O711" t="s">
        <v>20</v>
      </c>
      <c r="P711" s="4">
        <f t="shared" si="22"/>
        <v>143312.96279999963</v>
      </c>
      <c r="Q711" s="4">
        <f t="shared" si="23"/>
        <v>-5763.0972000003521</v>
      </c>
      <c r="R711" t="str">
        <f>IF( Table1[[#This Row],[Total Amount after sale]] &gt; 0,"PROFIT","LOSS")</f>
        <v>LOSS</v>
      </c>
      <c r="S711" s="3">
        <f>(Table1[[#This Row],[Total Amount after sale]]/Table1[[#This Row],[Price after discount]])</f>
        <v>-4.0213370007869009E-2</v>
      </c>
    </row>
    <row r="712" spans="1:19" x14ac:dyDescent="0.3">
      <c r="A712">
        <v>1089</v>
      </c>
      <c r="B712" s="1">
        <v>45193</v>
      </c>
      <c r="C712" s="1">
        <f>DATE(YEAR(Table1[[#This Row],[Sale_Date]]), MONTH(Table1[[#This Row],[Sale_Date]]), 1)</f>
        <v>45170</v>
      </c>
      <c r="D712" t="s">
        <v>14</v>
      </c>
      <c r="E712" t="s">
        <v>25</v>
      </c>
      <c r="F712" s="2">
        <v>2975.99</v>
      </c>
      <c r="G712">
        <v>48</v>
      </c>
      <c r="H712" t="s">
        <v>26</v>
      </c>
      <c r="I712" s="2">
        <v>2246.67</v>
      </c>
      <c r="J712" s="2">
        <v>2486.14</v>
      </c>
      <c r="K712" t="s">
        <v>30</v>
      </c>
      <c r="L712" s="5">
        <v>0.03</v>
      </c>
      <c r="M712" t="s">
        <v>18</v>
      </c>
      <c r="N712" t="s">
        <v>22</v>
      </c>
      <c r="O712" t="s">
        <v>32</v>
      </c>
      <c r="P712" s="4">
        <f t="shared" si="22"/>
        <v>115754.67839999998</v>
      </c>
      <c r="Q712" s="4">
        <f t="shared" si="23"/>
        <v>7914.518399999979</v>
      </c>
      <c r="R712" t="str">
        <f>IF( Table1[[#This Row],[Total Amount after sale]] &gt; 0,"PROFIT","LOSS")</f>
        <v>PROFIT</v>
      </c>
      <c r="S712" s="3">
        <f>(Table1[[#This Row],[Total Amount after sale]]/Table1[[#This Row],[Price after discount]])</f>
        <v>6.8373205380526381E-2</v>
      </c>
    </row>
    <row r="713" spans="1:19" x14ac:dyDescent="0.3">
      <c r="A713">
        <v>1097</v>
      </c>
      <c r="B713" s="1">
        <v>45193</v>
      </c>
      <c r="C713" s="1">
        <f>DATE(YEAR(Table1[[#This Row],[Sale_Date]]), MONTH(Table1[[#This Row],[Sale_Date]]), 1)</f>
        <v>45170</v>
      </c>
      <c r="D713" t="s">
        <v>42</v>
      </c>
      <c r="E713" t="s">
        <v>34</v>
      </c>
      <c r="F713" s="2">
        <v>5025.6400000000003</v>
      </c>
      <c r="G713">
        <v>9</v>
      </c>
      <c r="H713" t="s">
        <v>26</v>
      </c>
      <c r="I713" s="2">
        <v>4067.28</v>
      </c>
      <c r="J713" s="2">
        <v>4548.09</v>
      </c>
      <c r="K713" t="s">
        <v>17</v>
      </c>
      <c r="L713" s="5">
        <v>0.12</v>
      </c>
      <c r="M713" t="s">
        <v>31</v>
      </c>
      <c r="N713" t="s">
        <v>22</v>
      </c>
      <c r="O713" t="s">
        <v>52</v>
      </c>
      <c r="P713" s="4">
        <f t="shared" si="22"/>
        <v>36020.872800000005</v>
      </c>
      <c r="Q713" s="4">
        <f t="shared" si="23"/>
        <v>-584.64719999999852</v>
      </c>
      <c r="R713" t="str">
        <f>IF( Table1[[#This Row],[Total Amount after sale]] &gt; 0,"PROFIT","LOSS")</f>
        <v>LOSS</v>
      </c>
      <c r="S713" s="3">
        <f>(Table1[[#This Row],[Total Amount after sale]]/Table1[[#This Row],[Price after discount]])</f>
        <v>-1.6230789388312614E-2</v>
      </c>
    </row>
    <row r="714" spans="1:19" x14ac:dyDescent="0.3">
      <c r="A714">
        <v>1015</v>
      </c>
      <c r="B714" s="1">
        <v>45193</v>
      </c>
      <c r="C714" s="1">
        <f>DATE(YEAR(Table1[[#This Row],[Sale_Date]]), MONTH(Table1[[#This Row],[Sale_Date]]), 1)</f>
        <v>45170</v>
      </c>
      <c r="D714" t="s">
        <v>14</v>
      </c>
      <c r="E714" t="s">
        <v>34</v>
      </c>
      <c r="F714" s="2">
        <v>182.37</v>
      </c>
      <c r="G714">
        <v>35</v>
      </c>
      <c r="H714" t="s">
        <v>29</v>
      </c>
      <c r="I714" s="2">
        <v>3461.15</v>
      </c>
      <c r="J714" s="2">
        <v>3631.75</v>
      </c>
      <c r="K714" t="s">
        <v>17</v>
      </c>
      <c r="L714" s="5">
        <v>0.27</v>
      </c>
      <c r="M714" t="s">
        <v>31</v>
      </c>
      <c r="N714" t="s">
        <v>19</v>
      </c>
      <c r="O714" t="s">
        <v>46</v>
      </c>
      <c r="P714" s="4">
        <f t="shared" si="22"/>
        <v>92791.212499999994</v>
      </c>
      <c r="Q714" s="4">
        <f t="shared" si="23"/>
        <v>-28349.037500000009</v>
      </c>
      <c r="R714" t="str">
        <f>IF( Table1[[#This Row],[Total Amount after sale]] &gt; 0,"PROFIT","LOSS")</f>
        <v>LOSS</v>
      </c>
      <c r="S714" s="3">
        <f>(Table1[[#This Row],[Total Amount after sale]]/Table1[[#This Row],[Price after discount]])</f>
        <v>-0.30551424791437026</v>
      </c>
    </row>
    <row r="715" spans="1:19" x14ac:dyDescent="0.3">
      <c r="A715">
        <v>1046</v>
      </c>
      <c r="B715" s="1">
        <v>45193</v>
      </c>
      <c r="C715" s="1">
        <f>DATE(YEAR(Table1[[#This Row],[Sale_Date]]), MONTH(Table1[[#This Row],[Sale_Date]]), 1)</f>
        <v>45170</v>
      </c>
      <c r="D715" t="s">
        <v>33</v>
      </c>
      <c r="E715" t="s">
        <v>21</v>
      </c>
      <c r="F715" s="2">
        <v>4695.96</v>
      </c>
      <c r="G715">
        <v>41</v>
      </c>
      <c r="H715" t="s">
        <v>29</v>
      </c>
      <c r="I715" s="2">
        <v>1825.37</v>
      </c>
      <c r="J715" s="2">
        <v>2073.88</v>
      </c>
      <c r="K715" t="s">
        <v>17</v>
      </c>
      <c r="L715" s="5">
        <v>0.27</v>
      </c>
      <c r="M715" t="s">
        <v>18</v>
      </c>
      <c r="N715" t="s">
        <v>22</v>
      </c>
      <c r="O715" t="s">
        <v>37</v>
      </c>
      <c r="P715" s="4">
        <f t="shared" si="22"/>
        <v>62071.228400000007</v>
      </c>
      <c r="Q715" s="4">
        <f t="shared" si="23"/>
        <v>-12768.941599999989</v>
      </c>
      <c r="R715" t="str">
        <f>IF( Table1[[#This Row],[Total Amount after sale]] &gt; 0,"PROFIT","LOSS")</f>
        <v>LOSS</v>
      </c>
      <c r="S715" s="3">
        <f>(Table1[[#This Row],[Total Amount after sale]]/Table1[[#This Row],[Price after discount]])</f>
        <v>-0.20571433704701722</v>
      </c>
    </row>
    <row r="716" spans="1:19" x14ac:dyDescent="0.3">
      <c r="A716">
        <v>1005</v>
      </c>
      <c r="B716" s="1">
        <v>45193</v>
      </c>
      <c r="C716" s="1">
        <f>DATE(YEAR(Table1[[#This Row],[Sale_Date]]), MONTH(Table1[[#This Row],[Sale_Date]]), 1)</f>
        <v>45170</v>
      </c>
      <c r="D716" t="s">
        <v>38</v>
      </c>
      <c r="E716" t="s">
        <v>25</v>
      </c>
      <c r="F716" s="2">
        <v>4453.43</v>
      </c>
      <c r="G716">
        <v>6</v>
      </c>
      <c r="H716" t="s">
        <v>26</v>
      </c>
      <c r="I716" s="2">
        <v>122.5</v>
      </c>
      <c r="J716" s="2">
        <v>385.83</v>
      </c>
      <c r="K716" t="s">
        <v>17</v>
      </c>
      <c r="L716" s="5">
        <v>0.1</v>
      </c>
      <c r="M716" t="s">
        <v>18</v>
      </c>
      <c r="N716" t="s">
        <v>22</v>
      </c>
      <c r="O716" t="s">
        <v>39</v>
      </c>
      <c r="P716" s="4">
        <f t="shared" si="22"/>
        <v>2083.482</v>
      </c>
      <c r="Q716" s="4">
        <f t="shared" si="23"/>
        <v>1348.482</v>
      </c>
      <c r="R716" t="str">
        <f>IF( Table1[[#This Row],[Total Amount after sale]] &gt; 0,"PROFIT","LOSS")</f>
        <v>PROFIT</v>
      </c>
      <c r="S716" s="3">
        <f>(Table1[[#This Row],[Total Amount after sale]]/Table1[[#This Row],[Price after discount]])</f>
        <v>0.64722517401158253</v>
      </c>
    </row>
    <row r="717" spans="1:19" x14ac:dyDescent="0.3">
      <c r="A717">
        <v>1066</v>
      </c>
      <c r="B717" s="1">
        <v>45194</v>
      </c>
      <c r="C717" s="1">
        <f>DATE(YEAR(Table1[[#This Row],[Sale_Date]]), MONTH(Table1[[#This Row],[Sale_Date]]), 1)</f>
        <v>45170</v>
      </c>
      <c r="D717" t="s">
        <v>38</v>
      </c>
      <c r="E717" t="s">
        <v>34</v>
      </c>
      <c r="F717" s="2">
        <v>7391.7</v>
      </c>
      <c r="G717">
        <v>47</v>
      </c>
      <c r="H717" t="s">
        <v>26</v>
      </c>
      <c r="I717" s="2">
        <v>1319.24</v>
      </c>
      <c r="J717" s="2">
        <v>1805.56</v>
      </c>
      <c r="K717" t="s">
        <v>30</v>
      </c>
      <c r="L717" s="5">
        <v>0.26</v>
      </c>
      <c r="M717" t="s">
        <v>31</v>
      </c>
      <c r="N717" t="s">
        <v>22</v>
      </c>
      <c r="O717" t="s">
        <v>48</v>
      </c>
      <c r="P717" s="4">
        <f t="shared" si="22"/>
        <v>62797.376799999998</v>
      </c>
      <c r="Q717" s="4">
        <f t="shared" si="23"/>
        <v>793.09679999999639</v>
      </c>
      <c r="R717" t="str">
        <f>IF( Table1[[#This Row],[Total Amount after sale]] &gt; 0,"PROFIT","LOSS")</f>
        <v>PROFIT</v>
      </c>
      <c r="S717" s="3">
        <f>(Table1[[#This Row],[Total Amount after sale]]/Table1[[#This Row],[Price after discount]])</f>
        <v>1.2629457477593179E-2</v>
      </c>
    </row>
    <row r="718" spans="1:19" x14ac:dyDescent="0.3">
      <c r="A718">
        <v>1039</v>
      </c>
      <c r="B718" s="1">
        <v>45194</v>
      </c>
      <c r="C718" s="1">
        <f>DATE(YEAR(Table1[[#This Row],[Sale_Date]]), MONTH(Table1[[#This Row],[Sale_Date]]), 1)</f>
        <v>45170</v>
      </c>
      <c r="D718" t="s">
        <v>38</v>
      </c>
      <c r="E718" t="s">
        <v>21</v>
      </c>
      <c r="F718" s="2">
        <v>1143.3900000000001</v>
      </c>
      <c r="G718">
        <v>37</v>
      </c>
      <c r="H718" t="s">
        <v>35</v>
      </c>
      <c r="I718" s="2">
        <v>4127.05</v>
      </c>
      <c r="J718" s="2">
        <v>4313.45</v>
      </c>
      <c r="K718" t="s">
        <v>30</v>
      </c>
      <c r="L718" s="5">
        <v>0.16</v>
      </c>
      <c r="M718" t="s">
        <v>18</v>
      </c>
      <c r="N718" t="s">
        <v>19</v>
      </c>
      <c r="O718" t="s">
        <v>41</v>
      </c>
      <c r="P718" s="4">
        <f t="shared" si="22"/>
        <v>134062.02599999998</v>
      </c>
      <c r="Q718" s="4">
        <f t="shared" si="23"/>
        <v>-18638.824000000015</v>
      </c>
      <c r="R718" t="str">
        <f>IF( Table1[[#This Row],[Total Amount after sale]] &gt; 0,"PROFIT","LOSS")</f>
        <v>LOSS</v>
      </c>
      <c r="S718" s="3">
        <f>(Table1[[#This Row],[Total Amount after sale]]/Table1[[#This Row],[Price after discount]])</f>
        <v>-0.1390313465798288</v>
      </c>
    </row>
    <row r="719" spans="1:19" x14ac:dyDescent="0.3">
      <c r="A719">
        <v>1090</v>
      </c>
      <c r="B719" s="1">
        <v>45195</v>
      </c>
      <c r="C719" s="1">
        <f>DATE(YEAR(Table1[[#This Row],[Sale_Date]]), MONTH(Table1[[#This Row],[Sale_Date]]), 1)</f>
        <v>45170</v>
      </c>
      <c r="D719" t="s">
        <v>38</v>
      </c>
      <c r="E719" t="s">
        <v>15</v>
      </c>
      <c r="F719" s="2">
        <v>7350.77</v>
      </c>
      <c r="G719">
        <v>11</v>
      </c>
      <c r="H719" t="s">
        <v>35</v>
      </c>
      <c r="I719" s="2">
        <v>210.33</v>
      </c>
      <c r="J719" s="2">
        <v>552.29</v>
      </c>
      <c r="K719" t="s">
        <v>17</v>
      </c>
      <c r="L719" s="5">
        <v>0.18</v>
      </c>
      <c r="M719" t="s">
        <v>18</v>
      </c>
      <c r="N719" t="s">
        <v>22</v>
      </c>
      <c r="O719" t="s">
        <v>40</v>
      </c>
      <c r="P719" s="4">
        <f t="shared" si="22"/>
        <v>4981.6557999999995</v>
      </c>
      <c r="Q719" s="4">
        <f t="shared" si="23"/>
        <v>2668.0257999999994</v>
      </c>
      <c r="R719" t="str">
        <f>IF( Table1[[#This Row],[Total Amount after sale]] &gt; 0,"PROFIT","LOSS")</f>
        <v>PROFIT</v>
      </c>
      <c r="S719" s="3">
        <f>(Table1[[#This Row],[Total Amount after sale]]/Table1[[#This Row],[Price after discount]])</f>
        <v>0.53557008093574021</v>
      </c>
    </row>
    <row r="720" spans="1:19" x14ac:dyDescent="0.3">
      <c r="A720">
        <v>1018</v>
      </c>
      <c r="B720" s="1">
        <v>45195</v>
      </c>
      <c r="C720" s="1">
        <f>DATE(YEAR(Table1[[#This Row],[Sale_Date]]), MONTH(Table1[[#This Row],[Sale_Date]]), 1)</f>
        <v>45170</v>
      </c>
      <c r="D720" t="s">
        <v>24</v>
      </c>
      <c r="E720" t="s">
        <v>34</v>
      </c>
      <c r="F720" s="2">
        <v>5634.69</v>
      </c>
      <c r="G720">
        <v>25</v>
      </c>
      <c r="H720" t="s">
        <v>16</v>
      </c>
      <c r="I720" s="2">
        <v>739.63</v>
      </c>
      <c r="J720" s="2">
        <v>1103.03</v>
      </c>
      <c r="K720" t="s">
        <v>30</v>
      </c>
      <c r="L720" s="5">
        <v>0.26</v>
      </c>
      <c r="M720" t="s">
        <v>27</v>
      </c>
      <c r="N720" t="s">
        <v>22</v>
      </c>
      <c r="O720" t="s">
        <v>50</v>
      </c>
      <c r="P720" s="4">
        <f t="shared" si="22"/>
        <v>20406.055</v>
      </c>
      <c r="Q720" s="4">
        <f t="shared" si="23"/>
        <v>1915.3050000000007</v>
      </c>
      <c r="R720" t="str">
        <f>IF( Table1[[#This Row],[Total Amount after sale]] &gt; 0,"PROFIT","LOSS")</f>
        <v>PROFIT</v>
      </c>
      <c r="S720" s="3">
        <f>(Table1[[#This Row],[Total Amount after sale]]/Table1[[#This Row],[Price after discount]])</f>
        <v>9.3859641170231128E-2</v>
      </c>
    </row>
    <row r="721" spans="1:19" x14ac:dyDescent="0.3">
      <c r="A721">
        <v>1006</v>
      </c>
      <c r="B721" s="1">
        <v>45195</v>
      </c>
      <c r="C721" s="1">
        <f>DATE(YEAR(Table1[[#This Row],[Sale_Date]]), MONTH(Table1[[#This Row],[Sale_Date]]), 1)</f>
        <v>45170</v>
      </c>
      <c r="D721" t="s">
        <v>14</v>
      </c>
      <c r="E721" t="s">
        <v>34</v>
      </c>
      <c r="F721" s="2">
        <v>6954.35</v>
      </c>
      <c r="G721">
        <v>14</v>
      </c>
      <c r="H721" t="s">
        <v>26</v>
      </c>
      <c r="I721" s="2">
        <v>4503.7299999999996</v>
      </c>
      <c r="J721" s="2">
        <v>4879.8799999999901</v>
      </c>
      <c r="K721" t="s">
        <v>30</v>
      </c>
      <c r="L721" s="5">
        <v>0.24</v>
      </c>
      <c r="M721" t="s">
        <v>27</v>
      </c>
      <c r="N721" t="s">
        <v>22</v>
      </c>
      <c r="O721" t="s">
        <v>46</v>
      </c>
      <c r="P721" s="4">
        <f t="shared" si="22"/>
        <v>51921.923199999896</v>
      </c>
      <c r="Q721" s="4">
        <f t="shared" si="23"/>
        <v>-11130.296800000098</v>
      </c>
      <c r="R721" t="str">
        <f>IF( Table1[[#This Row],[Total Amount after sale]] &gt; 0,"PROFIT","LOSS")</f>
        <v>LOSS</v>
      </c>
      <c r="S721" s="3">
        <f>(Table1[[#This Row],[Total Amount after sale]]/Table1[[#This Row],[Price after discount]])</f>
        <v>-0.21436603488524325</v>
      </c>
    </row>
    <row r="722" spans="1:19" x14ac:dyDescent="0.3">
      <c r="A722">
        <v>1088</v>
      </c>
      <c r="B722" s="1">
        <v>45196</v>
      </c>
      <c r="C722" s="1">
        <f>DATE(YEAR(Table1[[#This Row],[Sale_Date]]), MONTH(Table1[[#This Row],[Sale_Date]]), 1)</f>
        <v>45170</v>
      </c>
      <c r="D722" t="s">
        <v>38</v>
      </c>
      <c r="E722" t="s">
        <v>15</v>
      </c>
      <c r="F722" s="2">
        <v>7106.44</v>
      </c>
      <c r="G722">
        <v>12</v>
      </c>
      <c r="H722" t="s">
        <v>29</v>
      </c>
      <c r="I722" s="2">
        <v>4389.24</v>
      </c>
      <c r="J722" s="2">
        <v>4856.2199999999903</v>
      </c>
      <c r="K722" t="s">
        <v>17</v>
      </c>
      <c r="L722" s="5">
        <v>0.15</v>
      </c>
      <c r="M722" t="s">
        <v>18</v>
      </c>
      <c r="N722" t="s">
        <v>22</v>
      </c>
      <c r="O722" t="s">
        <v>40</v>
      </c>
      <c r="P722" s="4">
        <f t="shared" si="22"/>
        <v>49533.443999999894</v>
      </c>
      <c r="Q722" s="4">
        <f t="shared" si="23"/>
        <v>-3137.4360000001034</v>
      </c>
      <c r="R722" t="str">
        <f>IF( Table1[[#This Row],[Total Amount after sale]] &gt; 0,"PROFIT","LOSS")</f>
        <v>LOSS</v>
      </c>
      <c r="S722" s="3">
        <f>(Table1[[#This Row],[Total Amount after sale]]/Table1[[#This Row],[Price after discount]])</f>
        <v>-6.3339750815632964E-2</v>
      </c>
    </row>
    <row r="723" spans="1:19" x14ac:dyDescent="0.3">
      <c r="A723">
        <v>1058</v>
      </c>
      <c r="B723" s="1">
        <v>45196</v>
      </c>
      <c r="C723" s="1">
        <f>DATE(YEAR(Table1[[#This Row],[Sale_Date]]), MONTH(Table1[[#This Row],[Sale_Date]]), 1)</f>
        <v>45170</v>
      </c>
      <c r="D723" t="s">
        <v>38</v>
      </c>
      <c r="E723" t="s">
        <v>21</v>
      </c>
      <c r="F723" s="2">
        <v>1193.28</v>
      </c>
      <c r="G723">
        <v>29</v>
      </c>
      <c r="H723" t="s">
        <v>35</v>
      </c>
      <c r="I723" s="2">
        <v>3578.77</v>
      </c>
      <c r="J723" s="2">
        <v>3635.02</v>
      </c>
      <c r="K723" t="s">
        <v>30</v>
      </c>
      <c r="L723" s="5">
        <v>0.2</v>
      </c>
      <c r="M723" t="s">
        <v>27</v>
      </c>
      <c r="N723" t="s">
        <v>22</v>
      </c>
      <c r="O723" t="s">
        <v>41</v>
      </c>
      <c r="P723" s="4">
        <f t="shared" si="22"/>
        <v>84332.464000000007</v>
      </c>
      <c r="Q723" s="4">
        <f t="shared" si="23"/>
        <v>-19451.865999999998</v>
      </c>
      <c r="R723" t="str">
        <f>IF( Table1[[#This Row],[Total Amount after sale]] &gt; 0,"PROFIT","LOSS")</f>
        <v>LOSS</v>
      </c>
      <c r="S723" s="3">
        <f>(Table1[[#This Row],[Total Amount after sale]]/Table1[[#This Row],[Price after discount]])</f>
        <v>-0.23065691523017751</v>
      </c>
    </row>
    <row r="724" spans="1:19" x14ac:dyDescent="0.3">
      <c r="A724">
        <v>1047</v>
      </c>
      <c r="B724" s="1">
        <v>45196</v>
      </c>
      <c r="C724" s="1">
        <f>DATE(YEAR(Table1[[#This Row],[Sale_Date]]), MONTH(Table1[[#This Row],[Sale_Date]]), 1)</f>
        <v>45170</v>
      </c>
      <c r="D724" t="s">
        <v>38</v>
      </c>
      <c r="E724" t="s">
        <v>15</v>
      </c>
      <c r="F724" s="2">
        <v>8657.89</v>
      </c>
      <c r="G724">
        <v>32</v>
      </c>
      <c r="H724" t="s">
        <v>35</v>
      </c>
      <c r="I724" s="2">
        <v>367.98</v>
      </c>
      <c r="J724" s="2">
        <v>806.14</v>
      </c>
      <c r="K724" t="s">
        <v>17</v>
      </c>
      <c r="L724" s="5">
        <v>0.22</v>
      </c>
      <c r="M724" t="s">
        <v>31</v>
      </c>
      <c r="N724" t="s">
        <v>22</v>
      </c>
      <c r="O724" t="s">
        <v>40</v>
      </c>
      <c r="P724" s="4">
        <f t="shared" si="22"/>
        <v>20121.254400000002</v>
      </c>
      <c r="Q724" s="4">
        <f t="shared" si="23"/>
        <v>8345.894400000001</v>
      </c>
      <c r="R724" t="str">
        <f>IF( Table1[[#This Row],[Total Amount after sale]] &gt; 0,"PROFIT","LOSS")</f>
        <v>PROFIT</v>
      </c>
      <c r="S724" s="3">
        <f>(Table1[[#This Row],[Total Amount after sale]]/Table1[[#This Row],[Price after discount]])</f>
        <v>0.41478002484775506</v>
      </c>
    </row>
    <row r="725" spans="1:19" x14ac:dyDescent="0.3">
      <c r="A725">
        <v>1049</v>
      </c>
      <c r="B725" s="1">
        <v>45197</v>
      </c>
      <c r="C725" s="1">
        <f>DATE(YEAR(Table1[[#This Row],[Sale_Date]]), MONTH(Table1[[#This Row],[Sale_Date]]), 1)</f>
        <v>45170</v>
      </c>
      <c r="D725" t="s">
        <v>42</v>
      </c>
      <c r="E725" t="s">
        <v>21</v>
      </c>
      <c r="F725" s="2">
        <v>5972.27</v>
      </c>
      <c r="G725">
        <v>44</v>
      </c>
      <c r="H725" t="s">
        <v>16</v>
      </c>
      <c r="I725" s="2">
        <v>3351.33</v>
      </c>
      <c r="J725" s="2">
        <v>3465.35</v>
      </c>
      <c r="K725" t="s">
        <v>17</v>
      </c>
      <c r="L725" s="5">
        <v>0.12</v>
      </c>
      <c r="M725" t="s">
        <v>27</v>
      </c>
      <c r="N725" t="s">
        <v>19</v>
      </c>
      <c r="O725" t="s">
        <v>51</v>
      </c>
      <c r="P725" s="4">
        <f t="shared" si="22"/>
        <v>134178.35199999998</v>
      </c>
      <c r="Q725" s="4">
        <f t="shared" si="23"/>
        <v>-13280.168000000005</v>
      </c>
      <c r="R725" t="str">
        <f>IF( Table1[[#This Row],[Total Amount after sale]] &gt; 0,"PROFIT","LOSS")</f>
        <v>LOSS</v>
      </c>
      <c r="S725" s="3">
        <f>(Table1[[#This Row],[Total Amount after sale]]/Table1[[#This Row],[Price after discount]])</f>
        <v>-9.8973998428599025E-2</v>
      </c>
    </row>
    <row r="726" spans="1:19" x14ac:dyDescent="0.3">
      <c r="A726">
        <v>1004</v>
      </c>
      <c r="B726" s="1">
        <v>45197</v>
      </c>
      <c r="C726" s="1">
        <f>DATE(YEAR(Table1[[#This Row],[Sale_Date]]), MONTH(Table1[[#This Row],[Sale_Date]]), 1)</f>
        <v>45170</v>
      </c>
      <c r="D726" t="s">
        <v>38</v>
      </c>
      <c r="E726" t="s">
        <v>25</v>
      </c>
      <c r="F726" s="2">
        <v>4936.1099999999997</v>
      </c>
      <c r="G726">
        <v>27</v>
      </c>
      <c r="H726" t="s">
        <v>29</v>
      </c>
      <c r="I726" s="2">
        <v>4354.6000000000004</v>
      </c>
      <c r="J726" s="2">
        <v>4820.2</v>
      </c>
      <c r="K726" t="s">
        <v>30</v>
      </c>
      <c r="L726" s="5">
        <v>0.14000000000000001</v>
      </c>
      <c r="M726" t="s">
        <v>31</v>
      </c>
      <c r="N726" t="s">
        <v>22</v>
      </c>
      <c r="O726" t="s">
        <v>39</v>
      </c>
      <c r="P726" s="4">
        <f t="shared" si="22"/>
        <v>111925.04399999998</v>
      </c>
      <c r="Q726" s="4">
        <f t="shared" si="23"/>
        <v>-5649.1560000000263</v>
      </c>
      <c r="R726" t="str">
        <f>IF( Table1[[#This Row],[Total Amount after sale]] &gt; 0,"PROFIT","LOSS")</f>
        <v>LOSS</v>
      </c>
      <c r="S726" s="3">
        <f>(Table1[[#This Row],[Total Amount after sale]]/Table1[[#This Row],[Price after discount]])</f>
        <v>-5.0472671692673422E-2</v>
      </c>
    </row>
    <row r="727" spans="1:19" x14ac:dyDescent="0.3">
      <c r="A727">
        <v>1036</v>
      </c>
      <c r="B727" s="1">
        <v>45198</v>
      </c>
      <c r="C727" s="1">
        <f>DATE(YEAR(Table1[[#This Row],[Sale_Date]]), MONTH(Table1[[#This Row],[Sale_Date]]), 1)</f>
        <v>45170</v>
      </c>
      <c r="D727" t="s">
        <v>14</v>
      </c>
      <c r="E727" t="s">
        <v>15</v>
      </c>
      <c r="F727" s="2">
        <v>6116.75</v>
      </c>
      <c r="G727">
        <v>7</v>
      </c>
      <c r="H727" t="s">
        <v>29</v>
      </c>
      <c r="I727" s="2">
        <v>2588.67</v>
      </c>
      <c r="J727" s="2">
        <v>2847.76</v>
      </c>
      <c r="K727" t="s">
        <v>30</v>
      </c>
      <c r="L727" s="5">
        <v>0.22</v>
      </c>
      <c r="M727" t="s">
        <v>18</v>
      </c>
      <c r="N727" t="s">
        <v>22</v>
      </c>
      <c r="O727" t="s">
        <v>20</v>
      </c>
      <c r="P727" s="4">
        <f t="shared" si="22"/>
        <v>15548.769600000001</v>
      </c>
      <c r="Q727" s="4">
        <f t="shared" si="23"/>
        <v>-2571.9203999999991</v>
      </c>
      <c r="R727" t="str">
        <f>IF( Table1[[#This Row],[Total Amount after sale]] &gt; 0,"PROFIT","LOSS")</f>
        <v>LOSS</v>
      </c>
      <c r="S727" s="3">
        <f>(Table1[[#This Row],[Total Amount after sale]]/Table1[[#This Row],[Price after discount]])</f>
        <v>-0.16540989841408407</v>
      </c>
    </row>
    <row r="728" spans="1:19" x14ac:dyDescent="0.3">
      <c r="A728">
        <v>1048</v>
      </c>
      <c r="B728" s="1">
        <v>45199</v>
      </c>
      <c r="C728" s="1">
        <f>DATE(YEAR(Table1[[#This Row],[Sale_Date]]), MONTH(Table1[[#This Row],[Sale_Date]]), 1)</f>
        <v>45170</v>
      </c>
      <c r="D728" t="s">
        <v>33</v>
      </c>
      <c r="E728" t="s">
        <v>15</v>
      </c>
      <c r="F728" s="2">
        <v>7873.38</v>
      </c>
      <c r="G728">
        <v>4</v>
      </c>
      <c r="H728" t="s">
        <v>16</v>
      </c>
      <c r="I728" s="2">
        <v>2900.14</v>
      </c>
      <c r="J728" s="2">
        <v>2910.5099999999902</v>
      </c>
      <c r="K728" t="s">
        <v>30</v>
      </c>
      <c r="L728" s="5">
        <v>0.22</v>
      </c>
      <c r="M728" t="s">
        <v>31</v>
      </c>
      <c r="N728" t="s">
        <v>22</v>
      </c>
      <c r="O728" t="s">
        <v>53</v>
      </c>
      <c r="P728" s="4">
        <f t="shared" si="22"/>
        <v>9080.7911999999706</v>
      </c>
      <c r="Q728" s="4">
        <f t="shared" si="23"/>
        <v>-2519.7688000000289</v>
      </c>
      <c r="R728" t="str">
        <f>IF( Table1[[#This Row],[Total Amount after sale]] &gt; 0,"PROFIT","LOSS")</f>
        <v>LOSS</v>
      </c>
      <c r="S728" s="3">
        <f>(Table1[[#This Row],[Total Amount after sale]]/Table1[[#This Row],[Price after discount]])</f>
        <v>-0.27748339814266815</v>
      </c>
    </row>
    <row r="729" spans="1:19" x14ac:dyDescent="0.3">
      <c r="A729">
        <v>1084</v>
      </c>
      <c r="B729" s="1">
        <v>45199</v>
      </c>
      <c r="C729" s="1">
        <f>DATE(YEAR(Table1[[#This Row],[Sale_Date]]), MONTH(Table1[[#This Row],[Sale_Date]]), 1)</f>
        <v>45170</v>
      </c>
      <c r="D729" t="s">
        <v>42</v>
      </c>
      <c r="E729" t="s">
        <v>34</v>
      </c>
      <c r="F729" s="2">
        <v>9532.8700000000008</v>
      </c>
      <c r="G729">
        <v>30</v>
      </c>
      <c r="H729" t="s">
        <v>26</v>
      </c>
      <c r="I729" s="2">
        <v>169</v>
      </c>
      <c r="J729" s="2">
        <v>381.91999999999899</v>
      </c>
      <c r="K729" t="s">
        <v>17</v>
      </c>
      <c r="L729" s="5">
        <v>0.26</v>
      </c>
      <c r="M729" t="s">
        <v>18</v>
      </c>
      <c r="N729" t="s">
        <v>22</v>
      </c>
      <c r="O729" t="s">
        <v>52</v>
      </c>
      <c r="P729" s="4">
        <f t="shared" si="22"/>
        <v>8478.623999999978</v>
      </c>
      <c r="Q729" s="4">
        <f t="shared" si="23"/>
        <v>3408.6239999999771</v>
      </c>
      <c r="R729" t="str">
        <f>IF( Table1[[#This Row],[Total Amount after sale]] &gt; 0,"PROFIT","LOSS")</f>
        <v>PROFIT</v>
      </c>
      <c r="S729" s="3">
        <f>(Table1[[#This Row],[Total Amount after sale]]/Table1[[#This Row],[Price after discount]])</f>
        <v>0.40202561170302942</v>
      </c>
    </row>
    <row r="730" spans="1:19" x14ac:dyDescent="0.3">
      <c r="A730">
        <v>1023</v>
      </c>
      <c r="B730" s="1">
        <v>45199</v>
      </c>
      <c r="C730" s="1">
        <f>DATE(YEAR(Table1[[#This Row],[Sale_Date]]), MONTH(Table1[[#This Row],[Sale_Date]]), 1)</f>
        <v>45170</v>
      </c>
      <c r="D730" t="s">
        <v>33</v>
      </c>
      <c r="E730" t="s">
        <v>15</v>
      </c>
      <c r="F730" s="2">
        <v>8046.14</v>
      </c>
      <c r="G730">
        <v>8</v>
      </c>
      <c r="H730" t="s">
        <v>16</v>
      </c>
      <c r="I730" s="2">
        <v>1563.78</v>
      </c>
      <c r="J730" s="2">
        <v>1829.1599999999901</v>
      </c>
      <c r="K730" t="s">
        <v>17</v>
      </c>
      <c r="L730" s="5">
        <v>0.15</v>
      </c>
      <c r="M730" t="s">
        <v>18</v>
      </c>
      <c r="N730" t="s">
        <v>19</v>
      </c>
      <c r="O730" t="s">
        <v>53</v>
      </c>
      <c r="P730" s="4">
        <f t="shared" si="22"/>
        <v>12438.287999999931</v>
      </c>
      <c r="Q730" s="4">
        <f t="shared" si="23"/>
        <v>-71.952000000068438</v>
      </c>
      <c r="R730" t="str">
        <f>IF( Table1[[#This Row],[Total Amount after sale]] &gt; 0,"PROFIT","LOSS")</f>
        <v>LOSS</v>
      </c>
      <c r="S730" s="3">
        <f>(Table1[[#This Row],[Total Amount after sale]]/Table1[[#This Row],[Price after discount]])</f>
        <v>-5.7847189259541852E-3</v>
      </c>
    </row>
    <row r="731" spans="1:19" x14ac:dyDescent="0.3">
      <c r="A731">
        <v>1093</v>
      </c>
      <c r="B731" s="1">
        <v>45200</v>
      </c>
      <c r="C731" s="1">
        <f>DATE(YEAR(Table1[[#This Row],[Sale_Date]]), MONTH(Table1[[#This Row],[Sale_Date]]), 1)</f>
        <v>45200</v>
      </c>
      <c r="D731" t="s">
        <v>38</v>
      </c>
      <c r="E731" t="s">
        <v>34</v>
      </c>
      <c r="F731" s="2">
        <v>1697.49</v>
      </c>
      <c r="G731">
        <v>22</v>
      </c>
      <c r="H731" t="s">
        <v>35</v>
      </c>
      <c r="I731" s="2">
        <v>2593.64</v>
      </c>
      <c r="J731" s="2">
        <v>2955.5099999999902</v>
      </c>
      <c r="K731" t="s">
        <v>17</v>
      </c>
      <c r="L731" s="5">
        <v>0</v>
      </c>
      <c r="M731" t="s">
        <v>27</v>
      </c>
      <c r="N731" t="s">
        <v>22</v>
      </c>
      <c r="O731" t="s">
        <v>48</v>
      </c>
      <c r="P731" s="4">
        <f t="shared" si="22"/>
        <v>65021.219999999783</v>
      </c>
      <c r="Q731" s="4">
        <f t="shared" si="23"/>
        <v>7961.1399999997875</v>
      </c>
      <c r="R731" t="str">
        <f>IF( Table1[[#This Row],[Total Amount after sale]] &gt; 0,"PROFIT","LOSS")</f>
        <v>PROFIT</v>
      </c>
      <c r="S731" s="3">
        <f>(Table1[[#This Row],[Total Amount after sale]]/Table1[[#This Row],[Price after discount]])</f>
        <v>0.12243910526440159</v>
      </c>
    </row>
    <row r="732" spans="1:19" x14ac:dyDescent="0.3">
      <c r="A732">
        <v>1077</v>
      </c>
      <c r="B732" s="1">
        <v>45200</v>
      </c>
      <c r="C732" s="1">
        <f>DATE(YEAR(Table1[[#This Row],[Sale_Date]]), MONTH(Table1[[#This Row],[Sale_Date]]), 1)</f>
        <v>45200</v>
      </c>
      <c r="D732" t="s">
        <v>42</v>
      </c>
      <c r="E732" t="s">
        <v>21</v>
      </c>
      <c r="F732" s="2">
        <v>5405.76</v>
      </c>
      <c r="G732">
        <v>5</v>
      </c>
      <c r="H732" t="s">
        <v>35</v>
      </c>
      <c r="I732" s="2">
        <v>3650.89</v>
      </c>
      <c r="J732" s="2">
        <v>3930.06</v>
      </c>
      <c r="K732" t="s">
        <v>30</v>
      </c>
      <c r="L732" s="5">
        <v>0.17</v>
      </c>
      <c r="M732" t="s">
        <v>27</v>
      </c>
      <c r="N732" t="s">
        <v>19</v>
      </c>
      <c r="O732" t="s">
        <v>51</v>
      </c>
      <c r="P732" s="4">
        <f t="shared" si="22"/>
        <v>16309.749</v>
      </c>
      <c r="Q732" s="4">
        <f t="shared" si="23"/>
        <v>-1944.701</v>
      </c>
      <c r="R732" t="str">
        <f>IF( Table1[[#This Row],[Total Amount after sale]] &gt; 0,"PROFIT","LOSS")</f>
        <v>LOSS</v>
      </c>
      <c r="S732" s="3">
        <f>(Table1[[#This Row],[Total Amount after sale]]/Table1[[#This Row],[Price after discount]])</f>
        <v>-0.1192354952856724</v>
      </c>
    </row>
    <row r="733" spans="1:19" x14ac:dyDescent="0.3">
      <c r="A733">
        <v>1091</v>
      </c>
      <c r="B733" s="1">
        <v>45200</v>
      </c>
      <c r="C733" s="1">
        <f>DATE(YEAR(Table1[[#This Row],[Sale_Date]]), MONTH(Table1[[#This Row],[Sale_Date]]), 1)</f>
        <v>45200</v>
      </c>
      <c r="D733" t="s">
        <v>38</v>
      </c>
      <c r="E733" t="s">
        <v>34</v>
      </c>
      <c r="F733" s="2">
        <v>3917.42</v>
      </c>
      <c r="G733">
        <v>15</v>
      </c>
      <c r="H733" t="s">
        <v>35</v>
      </c>
      <c r="I733" s="2">
        <v>1534.7</v>
      </c>
      <c r="J733" s="2">
        <v>1972.62</v>
      </c>
      <c r="K733" t="s">
        <v>17</v>
      </c>
      <c r="L733" s="5">
        <v>0.06</v>
      </c>
      <c r="M733" t="s">
        <v>31</v>
      </c>
      <c r="N733" t="s">
        <v>22</v>
      </c>
      <c r="O733" t="s">
        <v>48</v>
      </c>
      <c r="P733" s="4">
        <f t="shared" si="22"/>
        <v>27813.941999999995</v>
      </c>
      <c r="Q733" s="4">
        <f t="shared" si="23"/>
        <v>4793.4419999999955</v>
      </c>
      <c r="R733" t="str">
        <f>IF( Table1[[#This Row],[Total Amount after sale]] &gt; 0,"PROFIT","LOSS")</f>
        <v>PROFIT</v>
      </c>
      <c r="S733" s="3">
        <f>(Table1[[#This Row],[Total Amount after sale]]/Table1[[#This Row],[Price after discount]])</f>
        <v>0.17233954108338892</v>
      </c>
    </row>
    <row r="734" spans="1:19" x14ac:dyDescent="0.3">
      <c r="A734">
        <v>1053</v>
      </c>
      <c r="B734" s="1">
        <v>45201</v>
      </c>
      <c r="C734" s="1">
        <f>DATE(YEAR(Table1[[#This Row],[Sale_Date]]), MONTH(Table1[[#This Row],[Sale_Date]]), 1)</f>
        <v>45200</v>
      </c>
      <c r="D734" t="s">
        <v>24</v>
      </c>
      <c r="E734" t="s">
        <v>34</v>
      </c>
      <c r="F734" s="2">
        <v>7724.57</v>
      </c>
      <c r="G734">
        <v>29</v>
      </c>
      <c r="H734" t="s">
        <v>35</v>
      </c>
      <c r="I734" s="2">
        <v>3741.3</v>
      </c>
      <c r="J734" s="2">
        <v>4061.04</v>
      </c>
      <c r="K734" t="s">
        <v>17</v>
      </c>
      <c r="L734" s="5">
        <v>0.21</v>
      </c>
      <c r="M734" t="s">
        <v>31</v>
      </c>
      <c r="N734" t="s">
        <v>19</v>
      </c>
      <c r="O734" t="s">
        <v>50</v>
      </c>
      <c r="P734" s="4">
        <f t="shared" si="22"/>
        <v>93038.426400000011</v>
      </c>
      <c r="Q734" s="4">
        <f t="shared" si="23"/>
        <v>-15459.273599999997</v>
      </c>
      <c r="R734" t="str">
        <f>IF( Table1[[#This Row],[Total Amount after sale]] &gt; 0,"PROFIT","LOSS")</f>
        <v>LOSS</v>
      </c>
      <c r="S734" s="3">
        <f>(Table1[[#This Row],[Total Amount after sale]]/Table1[[#This Row],[Price after discount]])</f>
        <v>-0.16616009318059571</v>
      </c>
    </row>
    <row r="735" spans="1:19" x14ac:dyDescent="0.3">
      <c r="A735">
        <v>1093</v>
      </c>
      <c r="B735" s="1">
        <v>45201</v>
      </c>
      <c r="C735" s="1">
        <f>DATE(YEAR(Table1[[#This Row],[Sale_Date]]), MONTH(Table1[[#This Row],[Sale_Date]]), 1)</f>
        <v>45200</v>
      </c>
      <c r="D735" t="s">
        <v>14</v>
      </c>
      <c r="E735" t="s">
        <v>21</v>
      </c>
      <c r="F735" s="2">
        <v>3747.64</v>
      </c>
      <c r="G735">
        <v>43</v>
      </c>
      <c r="H735" t="s">
        <v>35</v>
      </c>
      <c r="I735" s="2">
        <v>1486.76</v>
      </c>
      <c r="J735" s="2">
        <v>1505.44</v>
      </c>
      <c r="K735" t="s">
        <v>30</v>
      </c>
      <c r="L735" s="5">
        <v>0.08</v>
      </c>
      <c r="M735" t="s">
        <v>18</v>
      </c>
      <c r="N735" t="s">
        <v>22</v>
      </c>
      <c r="O735" t="s">
        <v>23</v>
      </c>
      <c r="P735" s="4">
        <f t="shared" si="22"/>
        <v>59555.20640000001</v>
      </c>
      <c r="Q735" s="4">
        <f t="shared" si="23"/>
        <v>-4375.473599999993</v>
      </c>
      <c r="R735" t="str">
        <f>IF( Table1[[#This Row],[Total Amount after sale]] &gt; 0,"PROFIT","LOSS")</f>
        <v>LOSS</v>
      </c>
      <c r="S735" s="3">
        <f>(Table1[[#This Row],[Total Amount after sale]]/Table1[[#This Row],[Price after discount]])</f>
        <v>-7.346920386124281E-2</v>
      </c>
    </row>
    <row r="736" spans="1:19" x14ac:dyDescent="0.3">
      <c r="A736">
        <v>1088</v>
      </c>
      <c r="B736" s="1">
        <v>45203</v>
      </c>
      <c r="C736" s="1">
        <f>DATE(YEAR(Table1[[#This Row],[Sale_Date]]), MONTH(Table1[[#This Row],[Sale_Date]]), 1)</f>
        <v>45200</v>
      </c>
      <c r="D736" t="s">
        <v>14</v>
      </c>
      <c r="E736" t="s">
        <v>34</v>
      </c>
      <c r="F736" s="2">
        <v>6116.75</v>
      </c>
      <c r="G736">
        <v>40</v>
      </c>
      <c r="H736" t="s">
        <v>35</v>
      </c>
      <c r="I736" s="2">
        <v>4904.93</v>
      </c>
      <c r="J736" s="2">
        <v>5034.3500000000004</v>
      </c>
      <c r="K736" t="s">
        <v>30</v>
      </c>
      <c r="L736" s="5">
        <v>0.1</v>
      </c>
      <c r="M736" t="s">
        <v>31</v>
      </c>
      <c r="N736" t="s">
        <v>22</v>
      </c>
      <c r="O736" t="s">
        <v>46</v>
      </c>
      <c r="P736" s="4">
        <f t="shared" si="22"/>
        <v>181236.60000000003</v>
      </c>
      <c r="Q736" s="4">
        <f t="shared" si="23"/>
        <v>-14960.599999999977</v>
      </c>
      <c r="R736" t="str">
        <f>IF( Table1[[#This Row],[Total Amount after sale]] &gt; 0,"PROFIT","LOSS")</f>
        <v>LOSS</v>
      </c>
      <c r="S736" s="3">
        <f>(Table1[[#This Row],[Total Amount after sale]]/Table1[[#This Row],[Price after discount]])</f>
        <v>-8.2547344189859956E-2</v>
      </c>
    </row>
    <row r="737" spans="1:19" x14ac:dyDescent="0.3">
      <c r="A737">
        <v>1079</v>
      </c>
      <c r="B737" s="1">
        <v>45203</v>
      </c>
      <c r="C737" s="1">
        <f>DATE(YEAR(Table1[[#This Row],[Sale_Date]]), MONTH(Table1[[#This Row],[Sale_Date]]), 1)</f>
        <v>45200</v>
      </c>
      <c r="D737" t="s">
        <v>38</v>
      </c>
      <c r="E737" t="s">
        <v>34</v>
      </c>
      <c r="F737" s="2">
        <v>942.52</v>
      </c>
      <c r="G737">
        <v>12</v>
      </c>
      <c r="H737" t="s">
        <v>26</v>
      </c>
      <c r="I737" s="2">
        <v>4754.0200000000004</v>
      </c>
      <c r="J737" s="2">
        <v>5080.74</v>
      </c>
      <c r="K737" t="s">
        <v>30</v>
      </c>
      <c r="L737" s="5">
        <v>0.2</v>
      </c>
      <c r="M737" t="s">
        <v>18</v>
      </c>
      <c r="N737" t="s">
        <v>19</v>
      </c>
      <c r="O737" t="s">
        <v>48</v>
      </c>
      <c r="P737" s="4">
        <f t="shared" si="22"/>
        <v>48775.103999999999</v>
      </c>
      <c r="Q737" s="4">
        <f t="shared" si="23"/>
        <v>-8273.1360000000041</v>
      </c>
      <c r="R737" t="str">
        <f>IF( Table1[[#This Row],[Total Amount after sale]] &gt; 0,"PROFIT","LOSS")</f>
        <v>LOSS</v>
      </c>
      <c r="S737" s="3">
        <f>(Table1[[#This Row],[Total Amount after sale]]/Table1[[#This Row],[Price after discount]])</f>
        <v>-0.16961800840035121</v>
      </c>
    </row>
    <row r="738" spans="1:19" x14ac:dyDescent="0.3">
      <c r="A738">
        <v>1066</v>
      </c>
      <c r="B738" s="1">
        <v>45204</v>
      </c>
      <c r="C738" s="1">
        <f>DATE(YEAR(Table1[[#This Row],[Sale_Date]]), MONTH(Table1[[#This Row],[Sale_Date]]), 1)</f>
        <v>45200</v>
      </c>
      <c r="D738" t="s">
        <v>42</v>
      </c>
      <c r="E738" t="s">
        <v>25</v>
      </c>
      <c r="F738" s="2">
        <v>3530.59</v>
      </c>
      <c r="G738">
        <v>4</v>
      </c>
      <c r="H738" t="s">
        <v>16</v>
      </c>
      <c r="I738" s="2">
        <v>4596.68</v>
      </c>
      <c r="J738" s="2">
        <v>5044.74</v>
      </c>
      <c r="K738" t="s">
        <v>30</v>
      </c>
      <c r="L738" s="5">
        <v>0.01</v>
      </c>
      <c r="M738" t="s">
        <v>27</v>
      </c>
      <c r="N738" t="s">
        <v>19</v>
      </c>
      <c r="O738" t="s">
        <v>43</v>
      </c>
      <c r="P738" s="4">
        <f t="shared" si="22"/>
        <v>19977.170399999999</v>
      </c>
      <c r="Q738" s="4">
        <f t="shared" si="23"/>
        <v>1590.4503999999979</v>
      </c>
      <c r="R738" t="str">
        <f>IF( Table1[[#This Row],[Total Amount after sale]] &gt; 0,"PROFIT","LOSS")</f>
        <v>PROFIT</v>
      </c>
      <c r="S738" s="3">
        <f>(Table1[[#This Row],[Total Amount after sale]]/Table1[[#This Row],[Price after discount]])</f>
        <v>7.9613397100522204E-2</v>
      </c>
    </row>
    <row r="739" spans="1:19" x14ac:dyDescent="0.3">
      <c r="A739">
        <v>1063</v>
      </c>
      <c r="B739" s="1">
        <v>45204</v>
      </c>
      <c r="C739" s="1">
        <f>DATE(YEAR(Table1[[#This Row],[Sale_Date]]), MONTH(Table1[[#This Row],[Sale_Date]]), 1)</f>
        <v>45200</v>
      </c>
      <c r="D739" t="s">
        <v>42</v>
      </c>
      <c r="E739" t="s">
        <v>25</v>
      </c>
      <c r="F739" s="2">
        <v>7859.01</v>
      </c>
      <c r="G739">
        <v>27</v>
      </c>
      <c r="H739" t="s">
        <v>26</v>
      </c>
      <c r="I739" s="2">
        <v>2069.08</v>
      </c>
      <c r="J739" s="2">
        <v>2246.2399999999998</v>
      </c>
      <c r="K739" t="s">
        <v>30</v>
      </c>
      <c r="L739" s="5">
        <v>0.06</v>
      </c>
      <c r="M739" t="s">
        <v>27</v>
      </c>
      <c r="N739" t="s">
        <v>22</v>
      </c>
      <c r="O739" t="s">
        <v>43</v>
      </c>
      <c r="P739" s="4">
        <f t="shared" si="22"/>
        <v>57009.571199999991</v>
      </c>
      <c r="Q739" s="4">
        <f t="shared" si="23"/>
        <v>1144.4111999999895</v>
      </c>
      <c r="R739" t="str">
        <f>IF( Table1[[#This Row],[Total Amount after sale]] &gt; 0,"PROFIT","LOSS")</f>
        <v>PROFIT</v>
      </c>
      <c r="S739" s="3">
        <f>(Table1[[#This Row],[Total Amount after sale]]/Table1[[#This Row],[Price after discount]])</f>
        <v>2.0074018728981242E-2</v>
      </c>
    </row>
    <row r="740" spans="1:19" x14ac:dyDescent="0.3">
      <c r="A740">
        <v>1060</v>
      </c>
      <c r="B740" s="1">
        <v>45206</v>
      </c>
      <c r="C740" s="1">
        <f>DATE(YEAR(Table1[[#This Row],[Sale_Date]]), MONTH(Table1[[#This Row],[Sale_Date]]), 1)</f>
        <v>45200</v>
      </c>
      <c r="D740" t="s">
        <v>42</v>
      </c>
      <c r="E740" t="s">
        <v>25</v>
      </c>
      <c r="F740" s="2">
        <v>6453.17</v>
      </c>
      <c r="G740">
        <v>23</v>
      </c>
      <c r="H740" t="s">
        <v>35</v>
      </c>
      <c r="I740" s="2">
        <v>647.70000000000005</v>
      </c>
      <c r="J740" s="2">
        <v>902.26</v>
      </c>
      <c r="K740" t="s">
        <v>30</v>
      </c>
      <c r="L740" s="5">
        <v>0.17</v>
      </c>
      <c r="M740" t="s">
        <v>27</v>
      </c>
      <c r="N740" t="s">
        <v>19</v>
      </c>
      <c r="O740" t="s">
        <v>43</v>
      </c>
      <c r="P740" s="4">
        <f t="shared" si="22"/>
        <v>17224.143399999997</v>
      </c>
      <c r="Q740" s="4">
        <f t="shared" si="23"/>
        <v>2327.0433999999968</v>
      </c>
      <c r="R740" t="str">
        <f>IF( Table1[[#This Row],[Total Amount after sale]] &gt; 0,"PROFIT","LOSS")</f>
        <v>PROFIT</v>
      </c>
      <c r="S740" s="3">
        <f>(Table1[[#This Row],[Total Amount after sale]]/Table1[[#This Row],[Price after discount]])</f>
        <v>0.13510357792306799</v>
      </c>
    </row>
    <row r="741" spans="1:19" x14ac:dyDescent="0.3">
      <c r="A741">
        <v>1051</v>
      </c>
      <c r="B741" s="1">
        <v>45206</v>
      </c>
      <c r="C741" s="1">
        <f>DATE(YEAR(Table1[[#This Row],[Sale_Date]]), MONTH(Table1[[#This Row],[Sale_Date]]), 1)</f>
        <v>45200</v>
      </c>
      <c r="D741" t="s">
        <v>14</v>
      </c>
      <c r="E741" t="s">
        <v>21</v>
      </c>
      <c r="F741" s="2">
        <v>8047.83</v>
      </c>
      <c r="G741">
        <v>3</v>
      </c>
      <c r="H741" t="s">
        <v>16</v>
      </c>
      <c r="I741" s="2">
        <v>3434.75</v>
      </c>
      <c r="J741" s="2">
        <v>3659.42</v>
      </c>
      <c r="K741" t="s">
        <v>30</v>
      </c>
      <c r="L741" s="5">
        <v>0.16</v>
      </c>
      <c r="M741" t="s">
        <v>18</v>
      </c>
      <c r="N741" t="s">
        <v>19</v>
      </c>
      <c r="O741" t="s">
        <v>23</v>
      </c>
      <c r="P741" s="4">
        <f t="shared" si="22"/>
        <v>9221.7384000000002</v>
      </c>
      <c r="Q741" s="4">
        <f t="shared" si="23"/>
        <v>-1082.5115999999998</v>
      </c>
      <c r="R741" t="str">
        <f>IF( Table1[[#This Row],[Total Amount after sale]] &gt; 0,"PROFIT","LOSS")</f>
        <v>LOSS</v>
      </c>
      <c r="S741" s="3">
        <f>(Table1[[#This Row],[Total Amount after sale]]/Table1[[#This Row],[Price after discount]])</f>
        <v>-0.11738693433333565</v>
      </c>
    </row>
    <row r="742" spans="1:19" x14ac:dyDescent="0.3">
      <c r="A742">
        <v>1032</v>
      </c>
      <c r="B742" s="1">
        <v>45207</v>
      </c>
      <c r="C742" s="1">
        <f>DATE(YEAR(Table1[[#This Row],[Sale_Date]]), MONTH(Table1[[#This Row],[Sale_Date]]), 1)</f>
        <v>45200</v>
      </c>
      <c r="D742" t="s">
        <v>38</v>
      </c>
      <c r="E742" t="s">
        <v>34</v>
      </c>
      <c r="F742" s="2">
        <v>4095.65</v>
      </c>
      <c r="G742">
        <v>11</v>
      </c>
      <c r="H742" t="s">
        <v>26</v>
      </c>
      <c r="I742" s="2">
        <v>2025.67</v>
      </c>
      <c r="J742" s="2">
        <v>2081.5500000000002</v>
      </c>
      <c r="K742" t="s">
        <v>30</v>
      </c>
      <c r="L742" s="5">
        <v>0.27</v>
      </c>
      <c r="M742" t="s">
        <v>27</v>
      </c>
      <c r="N742" t="s">
        <v>19</v>
      </c>
      <c r="O742" t="s">
        <v>48</v>
      </c>
      <c r="P742" s="4">
        <f t="shared" si="22"/>
        <v>16714.8465</v>
      </c>
      <c r="Q742" s="4">
        <f t="shared" si="23"/>
        <v>-5567.5235000000002</v>
      </c>
      <c r="R742" t="str">
        <f>IF( Table1[[#This Row],[Total Amount after sale]] &gt; 0,"PROFIT","LOSS")</f>
        <v>LOSS</v>
      </c>
      <c r="S742" s="3">
        <f>(Table1[[#This Row],[Total Amount after sale]]/Table1[[#This Row],[Price after discount]])</f>
        <v>-0.33308852103427933</v>
      </c>
    </row>
    <row r="743" spans="1:19" x14ac:dyDescent="0.3">
      <c r="A743">
        <v>1001</v>
      </c>
      <c r="B743" s="1">
        <v>45207</v>
      </c>
      <c r="C743" s="1">
        <f>DATE(YEAR(Table1[[#This Row],[Sale_Date]]), MONTH(Table1[[#This Row],[Sale_Date]]), 1)</f>
        <v>45200</v>
      </c>
      <c r="D743" t="s">
        <v>14</v>
      </c>
      <c r="E743" t="s">
        <v>21</v>
      </c>
      <c r="F743" s="2">
        <v>8397.73</v>
      </c>
      <c r="G743">
        <v>33</v>
      </c>
      <c r="H743" t="s">
        <v>16</v>
      </c>
      <c r="I743" s="2">
        <v>2933.54</v>
      </c>
      <c r="J743" s="2">
        <v>3307.75</v>
      </c>
      <c r="K743" t="s">
        <v>17</v>
      </c>
      <c r="L743" s="5">
        <v>0.01</v>
      </c>
      <c r="M743" t="s">
        <v>27</v>
      </c>
      <c r="N743" t="s">
        <v>22</v>
      </c>
      <c r="O743" t="s">
        <v>23</v>
      </c>
      <c r="P743" s="4">
        <f t="shared" si="22"/>
        <v>108064.1925</v>
      </c>
      <c r="Q743" s="4">
        <f t="shared" si="23"/>
        <v>11257.372500000005</v>
      </c>
      <c r="R743" t="str">
        <f>IF( Table1[[#This Row],[Total Amount after sale]] &gt; 0,"PROFIT","LOSS")</f>
        <v>PROFIT</v>
      </c>
      <c r="S743" s="3">
        <f>(Table1[[#This Row],[Total Amount after sale]]/Table1[[#This Row],[Price after discount]])</f>
        <v>0.10417301272111948</v>
      </c>
    </row>
    <row r="744" spans="1:19" x14ac:dyDescent="0.3">
      <c r="A744">
        <v>1075</v>
      </c>
      <c r="B744" s="1">
        <v>45208</v>
      </c>
      <c r="C744" s="1">
        <f>DATE(YEAR(Table1[[#This Row],[Sale_Date]]), MONTH(Table1[[#This Row],[Sale_Date]]), 1)</f>
        <v>45200</v>
      </c>
      <c r="D744" t="s">
        <v>33</v>
      </c>
      <c r="E744" t="s">
        <v>21</v>
      </c>
      <c r="F744" s="2">
        <v>8239.58</v>
      </c>
      <c r="G744">
        <v>18</v>
      </c>
      <c r="H744" t="s">
        <v>29</v>
      </c>
      <c r="I744" s="2">
        <v>2228.35</v>
      </c>
      <c r="J744" s="2">
        <v>2682.34</v>
      </c>
      <c r="K744" t="s">
        <v>30</v>
      </c>
      <c r="L744" s="5">
        <v>0.13</v>
      </c>
      <c r="M744" t="s">
        <v>27</v>
      </c>
      <c r="N744" t="s">
        <v>19</v>
      </c>
      <c r="O744" t="s">
        <v>37</v>
      </c>
      <c r="P744" s="4">
        <f t="shared" si="22"/>
        <v>42005.4444</v>
      </c>
      <c r="Q744" s="4">
        <f t="shared" si="23"/>
        <v>1895.144400000002</v>
      </c>
      <c r="R744" t="str">
        <f>IF( Table1[[#This Row],[Total Amount after sale]] &gt; 0,"PROFIT","LOSS")</f>
        <v>PROFIT</v>
      </c>
      <c r="S744" s="3">
        <f>(Table1[[#This Row],[Total Amount after sale]]/Table1[[#This Row],[Price after discount]])</f>
        <v>4.5116637309043729E-2</v>
      </c>
    </row>
    <row r="745" spans="1:19" x14ac:dyDescent="0.3">
      <c r="A745">
        <v>1062</v>
      </c>
      <c r="B745" s="1">
        <v>45208</v>
      </c>
      <c r="C745" s="1">
        <f>DATE(YEAR(Table1[[#This Row],[Sale_Date]]), MONTH(Table1[[#This Row],[Sale_Date]]), 1)</f>
        <v>45200</v>
      </c>
      <c r="D745" t="s">
        <v>14</v>
      </c>
      <c r="E745" t="s">
        <v>34</v>
      </c>
      <c r="F745" s="2">
        <v>544.62</v>
      </c>
      <c r="G745">
        <v>4</v>
      </c>
      <c r="H745" t="s">
        <v>35</v>
      </c>
      <c r="I745" s="2">
        <v>1581.59</v>
      </c>
      <c r="J745" s="2">
        <v>2034.1499999999901</v>
      </c>
      <c r="K745" t="s">
        <v>17</v>
      </c>
      <c r="L745" s="5">
        <v>0.21</v>
      </c>
      <c r="M745" t="s">
        <v>18</v>
      </c>
      <c r="N745" t="s">
        <v>19</v>
      </c>
      <c r="O745" t="s">
        <v>46</v>
      </c>
      <c r="P745" s="4">
        <f t="shared" si="22"/>
        <v>6427.9139999999688</v>
      </c>
      <c r="Q745" s="4">
        <f t="shared" si="23"/>
        <v>101.55399999996916</v>
      </c>
      <c r="R745" t="str">
        <f>IF( Table1[[#This Row],[Total Amount after sale]] &gt; 0,"PROFIT","LOSS")</f>
        <v>PROFIT</v>
      </c>
      <c r="S745" s="3">
        <f>(Table1[[#This Row],[Total Amount after sale]]/Table1[[#This Row],[Price after discount]])</f>
        <v>1.5798904590193591E-2</v>
      </c>
    </row>
    <row r="746" spans="1:19" x14ac:dyDescent="0.3">
      <c r="A746">
        <v>1052</v>
      </c>
      <c r="B746" s="1">
        <v>45208</v>
      </c>
      <c r="C746" s="1">
        <f>DATE(YEAR(Table1[[#This Row],[Sale_Date]]), MONTH(Table1[[#This Row],[Sale_Date]]), 1)</f>
        <v>45200</v>
      </c>
      <c r="D746" t="s">
        <v>24</v>
      </c>
      <c r="E746" t="s">
        <v>21</v>
      </c>
      <c r="F746" s="2">
        <v>6757.36</v>
      </c>
      <c r="G746">
        <v>41</v>
      </c>
      <c r="H746" t="s">
        <v>35</v>
      </c>
      <c r="I746" s="2">
        <v>1509.98</v>
      </c>
      <c r="J746" s="2">
        <v>1792.83</v>
      </c>
      <c r="K746" t="s">
        <v>30</v>
      </c>
      <c r="L746" s="5">
        <v>0.04</v>
      </c>
      <c r="M746" t="s">
        <v>18</v>
      </c>
      <c r="N746" t="s">
        <v>22</v>
      </c>
      <c r="O746" t="s">
        <v>47</v>
      </c>
      <c r="P746" s="4">
        <f t="shared" si="22"/>
        <v>70565.788799999995</v>
      </c>
      <c r="Q746" s="4">
        <f t="shared" si="23"/>
        <v>8656.6087999999909</v>
      </c>
      <c r="R746" t="str">
        <f>IF( Table1[[#This Row],[Total Amount after sale]] &gt; 0,"PROFIT","LOSS")</f>
        <v>PROFIT</v>
      </c>
      <c r="S746" s="3">
        <f>(Table1[[#This Row],[Total Amount after sale]]/Table1[[#This Row],[Price after discount]])</f>
        <v>0.12267430077958671</v>
      </c>
    </row>
    <row r="747" spans="1:19" x14ac:dyDescent="0.3">
      <c r="A747">
        <v>1095</v>
      </c>
      <c r="B747" s="1">
        <v>45208</v>
      </c>
      <c r="C747" s="1">
        <f>DATE(YEAR(Table1[[#This Row],[Sale_Date]]), MONTH(Table1[[#This Row],[Sale_Date]]), 1)</f>
        <v>45200</v>
      </c>
      <c r="D747" t="s">
        <v>24</v>
      </c>
      <c r="E747" t="s">
        <v>15</v>
      </c>
      <c r="F747" s="2">
        <v>8828.74</v>
      </c>
      <c r="G747">
        <v>21</v>
      </c>
      <c r="H747" t="s">
        <v>29</v>
      </c>
      <c r="I747" s="2">
        <v>621.04999999999995</v>
      </c>
      <c r="J747" s="2">
        <v>820.36999999999898</v>
      </c>
      <c r="K747" t="s">
        <v>17</v>
      </c>
      <c r="L747" s="5">
        <v>0.24</v>
      </c>
      <c r="M747" t="s">
        <v>27</v>
      </c>
      <c r="N747" t="s">
        <v>19</v>
      </c>
      <c r="O747" t="s">
        <v>45</v>
      </c>
      <c r="P747" s="4">
        <f t="shared" si="22"/>
        <v>13093.105199999984</v>
      </c>
      <c r="Q747" s="4">
        <f t="shared" si="23"/>
        <v>51.055199999985462</v>
      </c>
      <c r="R747" t="str">
        <f>IF( Table1[[#This Row],[Total Amount after sale]] &gt; 0,"PROFIT","LOSS")</f>
        <v>PROFIT</v>
      </c>
      <c r="S747" s="3">
        <f>(Table1[[#This Row],[Total Amount after sale]]/Table1[[#This Row],[Price after discount]])</f>
        <v>3.899395843851123E-3</v>
      </c>
    </row>
    <row r="748" spans="1:19" x14ac:dyDescent="0.3">
      <c r="A748">
        <v>1001</v>
      </c>
      <c r="B748" s="1">
        <v>45209</v>
      </c>
      <c r="C748" s="1">
        <f>DATE(YEAR(Table1[[#This Row],[Sale_Date]]), MONTH(Table1[[#This Row],[Sale_Date]]), 1)</f>
        <v>45200</v>
      </c>
      <c r="D748" t="s">
        <v>24</v>
      </c>
      <c r="E748" t="s">
        <v>21</v>
      </c>
      <c r="F748" s="2">
        <v>3780.07</v>
      </c>
      <c r="G748">
        <v>18</v>
      </c>
      <c r="H748" t="s">
        <v>16</v>
      </c>
      <c r="I748" s="2">
        <v>2602.6</v>
      </c>
      <c r="J748" s="2">
        <v>3013.49</v>
      </c>
      <c r="K748" t="s">
        <v>17</v>
      </c>
      <c r="L748" s="5">
        <v>0.08</v>
      </c>
      <c r="M748" t="s">
        <v>27</v>
      </c>
      <c r="N748" t="s">
        <v>19</v>
      </c>
      <c r="O748" t="s">
        <v>47</v>
      </c>
      <c r="P748" s="4">
        <f t="shared" si="22"/>
        <v>49903.394400000005</v>
      </c>
      <c r="Q748" s="4">
        <f t="shared" si="23"/>
        <v>3056.5944000000036</v>
      </c>
      <c r="R748" t="str">
        <f>IF( Table1[[#This Row],[Total Amount after sale]] &gt; 0,"PROFIT","LOSS")</f>
        <v>PROFIT</v>
      </c>
      <c r="S748" s="3">
        <f>(Table1[[#This Row],[Total Amount after sale]]/Table1[[#This Row],[Price after discount]])</f>
        <v>6.1250230304975069E-2</v>
      </c>
    </row>
    <row r="749" spans="1:19" x14ac:dyDescent="0.3">
      <c r="A749">
        <v>1019</v>
      </c>
      <c r="B749" s="1">
        <v>45210</v>
      </c>
      <c r="C749" s="1">
        <f>DATE(YEAR(Table1[[#This Row],[Sale_Date]]), MONTH(Table1[[#This Row],[Sale_Date]]), 1)</f>
        <v>45200</v>
      </c>
      <c r="D749" t="s">
        <v>38</v>
      </c>
      <c r="E749" t="s">
        <v>25</v>
      </c>
      <c r="F749" s="2">
        <v>2030.25</v>
      </c>
      <c r="G749">
        <v>32</v>
      </c>
      <c r="H749" t="s">
        <v>35</v>
      </c>
      <c r="I749" s="2">
        <v>2866.47</v>
      </c>
      <c r="J749" s="2">
        <v>3286.47</v>
      </c>
      <c r="K749" t="s">
        <v>30</v>
      </c>
      <c r="L749" s="5">
        <v>0.09</v>
      </c>
      <c r="M749" t="s">
        <v>31</v>
      </c>
      <c r="N749" t="s">
        <v>19</v>
      </c>
      <c r="O749" t="s">
        <v>39</v>
      </c>
      <c r="P749" s="4">
        <f t="shared" si="22"/>
        <v>95702.006399999998</v>
      </c>
      <c r="Q749" s="4">
        <f t="shared" si="23"/>
        <v>3974.9664000000048</v>
      </c>
      <c r="R749" t="str">
        <f>IF( Table1[[#This Row],[Total Amount after sale]] &gt; 0,"PROFIT","LOSS")</f>
        <v>PROFIT</v>
      </c>
      <c r="S749" s="3">
        <f>(Table1[[#This Row],[Total Amount after sale]]/Table1[[#This Row],[Price after discount]])</f>
        <v>4.1534828260403167E-2</v>
      </c>
    </row>
    <row r="750" spans="1:19" x14ac:dyDescent="0.3">
      <c r="A750">
        <v>1052</v>
      </c>
      <c r="B750" s="1">
        <v>45211</v>
      </c>
      <c r="C750" s="1">
        <f>DATE(YEAR(Table1[[#This Row],[Sale_Date]]), MONTH(Table1[[#This Row],[Sale_Date]]), 1)</f>
        <v>45200</v>
      </c>
      <c r="D750" t="s">
        <v>24</v>
      </c>
      <c r="E750" t="s">
        <v>15</v>
      </c>
      <c r="F750" s="2">
        <v>7444.77</v>
      </c>
      <c r="G750">
        <v>46</v>
      </c>
      <c r="H750" t="s">
        <v>35</v>
      </c>
      <c r="I750" s="2">
        <v>3136.42</v>
      </c>
      <c r="J750" s="2">
        <v>3198.49</v>
      </c>
      <c r="K750" t="s">
        <v>17</v>
      </c>
      <c r="L750" s="5">
        <v>0.28999999999999998</v>
      </c>
      <c r="M750" t="s">
        <v>18</v>
      </c>
      <c r="N750" t="s">
        <v>22</v>
      </c>
      <c r="O750" t="s">
        <v>45</v>
      </c>
      <c r="P750" s="4">
        <f t="shared" si="22"/>
        <v>104462.68339999998</v>
      </c>
      <c r="Q750" s="4">
        <f t="shared" si="23"/>
        <v>-39812.63660000002</v>
      </c>
      <c r="R750" t="str">
        <f>IF( Table1[[#This Row],[Total Amount after sale]] &gt; 0,"PROFIT","LOSS")</f>
        <v>LOSS</v>
      </c>
      <c r="S750" s="3">
        <f>(Table1[[#This Row],[Total Amount after sale]]/Table1[[#This Row],[Price after discount]])</f>
        <v>-0.3811182644768249</v>
      </c>
    </row>
    <row r="751" spans="1:19" x14ac:dyDescent="0.3">
      <c r="A751">
        <v>1032</v>
      </c>
      <c r="B751" s="1">
        <v>45211</v>
      </c>
      <c r="C751" s="1">
        <f>DATE(YEAR(Table1[[#This Row],[Sale_Date]]), MONTH(Table1[[#This Row],[Sale_Date]]), 1)</f>
        <v>45200</v>
      </c>
      <c r="D751" t="s">
        <v>42</v>
      </c>
      <c r="E751" t="s">
        <v>15</v>
      </c>
      <c r="F751" s="2">
        <v>3035.94</v>
      </c>
      <c r="G751">
        <v>17</v>
      </c>
      <c r="H751" t="s">
        <v>29</v>
      </c>
      <c r="I751" s="2">
        <v>1291.9100000000001</v>
      </c>
      <c r="J751" s="2">
        <v>1528.59</v>
      </c>
      <c r="K751" t="s">
        <v>17</v>
      </c>
      <c r="L751" s="5">
        <v>0.11</v>
      </c>
      <c r="M751" t="s">
        <v>31</v>
      </c>
      <c r="N751" t="s">
        <v>22</v>
      </c>
      <c r="O751" t="s">
        <v>49</v>
      </c>
      <c r="P751" s="4">
        <f t="shared" si="22"/>
        <v>23127.566699999999</v>
      </c>
      <c r="Q751" s="4">
        <f t="shared" si="23"/>
        <v>1165.0966999999971</v>
      </c>
      <c r="R751" t="str">
        <f>IF( Table1[[#This Row],[Total Amount after sale]] &gt; 0,"PROFIT","LOSS")</f>
        <v>PROFIT</v>
      </c>
      <c r="S751" s="3">
        <f>(Table1[[#This Row],[Total Amount after sale]]/Table1[[#This Row],[Price after discount]])</f>
        <v>5.0376968537723305E-2</v>
      </c>
    </row>
    <row r="752" spans="1:19" x14ac:dyDescent="0.3">
      <c r="A752">
        <v>1019</v>
      </c>
      <c r="B752" s="1">
        <v>45211</v>
      </c>
      <c r="C752" s="1">
        <f>DATE(YEAR(Table1[[#This Row],[Sale_Date]]), MONTH(Table1[[#This Row],[Sale_Date]]), 1)</f>
        <v>45200</v>
      </c>
      <c r="D752" t="s">
        <v>33</v>
      </c>
      <c r="E752" t="s">
        <v>21</v>
      </c>
      <c r="F752" s="2">
        <v>220.35</v>
      </c>
      <c r="G752">
        <v>16</v>
      </c>
      <c r="H752" t="s">
        <v>29</v>
      </c>
      <c r="I752" s="2">
        <v>4977.78</v>
      </c>
      <c r="J752" s="2">
        <v>4995.55</v>
      </c>
      <c r="K752" t="s">
        <v>30</v>
      </c>
      <c r="L752" s="5">
        <v>0.25</v>
      </c>
      <c r="M752" t="s">
        <v>31</v>
      </c>
      <c r="N752" t="s">
        <v>19</v>
      </c>
      <c r="O752" t="s">
        <v>37</v>
      </c>
      <c r="P752" s="4">
        <f t="shared" si="22"/>
        <v>59946.600000000006</v>
      </c>
      <c r="Q752" s="4">
        <f t="shared" si="23"/>
        <v>-19697.87999999999</v>
      </c>
      <c r="R752" t="str">
        <f>IF( Table1[[#This Row],[Total Amount after sale]] &gt; 0,"PROFIT","LOSS")</f>
        <v>LOSS</v>
      </c>
      <c r="S752" s="3">
        <f>(Table1[[#This Row],[Total Amount after sale]]/Table1[[#This Row],[Price after discount]])</f>
        <v>-0.32859044549649169</v>
      </c>
    </row>
    <row r="753" spans="1:19" x14ac:dyDescent="0.3">
      <c r="A753">
        <v>1010</v>
      </c>
      <c r="B753" s="1">
        <v>45211</v>
      </c>
      <c r="C753" s="1">
        <f>DATE(YEAR(Table1[[#This Row],[Sale_Date]]), MONTH(Table1[[#This Row],[Sale_Date]]), 1)</f>
        <v>45200</v>
      </c>
      <c r="D753" t="s">
        <v>33</v>
      </c>
      <c r="E753" t="s">
        <v>15</v>
      </c>
      <c r="F753" s="2">
        <v>9907.7199999999993</v>
      </c>
      <c r="G753">
        <v>20</v>
      </c>
      <c r="H753" t="s">
        <v>16</v>
      </c>
      <c r="I753" s="2">
        <v>4298.74</v>
      </c>
      <c r="J753" s="2">
        <v>4475.1899999999996</v>
      </c>
      <c r="K753" t="s">
        <v>17</v>
      </c>
      <c r="L753" s="5">
        <v>0.16</v>
      </c>
      <c r="M753" t="s">
        <v>18</v>
      </c>
      <c r="N753" t="s">
        <v>19</v>
      </c>
      <c r="O753" t="s">
        <v>53</v>
      </c>
      <c r="P753" s="4">
        <f t="shared" si="22"/>
        <v>75183.191999999995</v>
      </c>
      <c r="Q753" s="4">
        <f t="shared" si="23"/>
        <v>-10791.608000000006</v>
      </c>
      <c r="R753" t="str">
        <f>IF( Table1[[#This Row],[Total Amount after sale]] &gt; 0,"PROFIT","LOSS")</f>
        <v>LOSS</v>
      </c>
      <c r="S753" s="3">
        <f>(Table1[[#This Row],[Total Amount after sale]]/Table1[[#This Row],[Price after discount]])</f>
        <v>-0.14353750769187887</v>
      </c>
    </row>
    <row r="754" spans="1:19" x14ac:dyDescent="0.3">
      <c r="A754">
        <v>1089</v>
      </c>
      <c r="B754" s="1">
        <v>45211</v>
      </c>
      <c r="C754" s="1">
        <f>DATE(YEAR(Table1[[#This Row],[Sale_Date]]), MONTH(Table1[[#This Row],[Sale_Date]]), 1)</f>
        <v>45200</v>
      </c>
      <c r="D754" t="s">
        <v>24</v>
      </c>
      <c r="E754" t="s">
        <v>25</v>
      </c>
      <c r="F754" s="2">
        <v>9813.07</v>
      </c>
      <c r="G754">
        <v>25</v>
      </c>
      <c r="H754" t="s">
        <v>16</v>
      </c>
      <c r="I754" s="2">
        <v>3512.69</v>
      </c>
      <c r="J754" s="2">
        <v>3964.63</v>
      </c>
      <c r="K754" t="s">
        <v>17</v>
      </c>
      <c r="L754" s="5">
        <v>0.03</v>
      </c>
      <c r="M754" t="s">
        <v>31</v>
      </c>
      <c r="N754" t="s">
        <v>22</v>
      </c>
      <c r="O754" t="s">
        <v>28</v>
      </c>
      <c r="P754" s="4">
        <f t="shared" si="22"/>
        <v>96142.277499999997</v>
      </c>
      <c r="Q754" s="4">
        <f t="shared" si="23"/>
        <v>8325.0274999999983</v>
      </c>
      <c r="R754" t="str">
        <f>IF( Table1[[#This Row],[Total Amount after sale]] &gt; 0,"PROFIT","LOSS")</f>
        <v>PROFIT</v>
      </c>
      <c r="S754" s="3">
        <f>(Table1[[#This Row],[Total Amount after sale]]/Table1[[#This Row],[Price after discount]])</f>
        <v>8.6590704073969946E-2</v>
      </c>
    </row>
    <row r="755" spans="1:19" x14ac:dyDescent="0.3">
      <c r="A755">
        <v>1077</v>
      </c>
      <c r="B755" s="1">
        <v>45211</v>
      </c>
      <c r="C755" s="1">
        <f>DATE(YEAR(Table1[[#This Row],[Sale_Date]]), MONTH(Table1[[#This Row],[Sale_Date]]), 1)</f>
        <v>45200</v>
      </c>
      <c r="D755" t="s">
        <v>24</v>
      </c>
      <c r="E755" t="s">
        <v>25</v>
      </c>
      <c r="F755" s="2">
        <v>628.15</v>
      </c>
      <c r="G755">
        <v>23</v>
      </c>
      <c r="H755" t="s">
        <v>35</v>
      </c>
      <c r="I755" s="2">
        <v>557.52</v>
      </c>
      <c r="J755" s="2">
        <v>822.39</v>
      </c>
      <c r="K755" t="s">
        <v>17</v>
      </c>
      <c r="L755" s="5">
        <v>0.28999999999999998</v>
      </c>
      <c r="M755" t="s">
        <v>31</v>
      </c>
      <c r="N755" t="s">
        <v>19</v>
      </c>
      <c r="O755" t="s">
        <v>28</v>
      </c>
      <c r="P755" s="4">
        <f t="shared" si="22"/>
        <v>13429.628699999999</v>
      </c>
      <c r="Q755" s="4">
        <f t="shared" si="23"/>
        <v>606.66869999999949</v>
      </c>
      <c r="R755" t="str">
        <f>IF( Table1[[#This Row],[Total Amount after sale]] &gt; 0,"PROFIT","LOSS")</f>
        <v>PROFIT</v>
      </c>
      <c r="S755" s="3">
        <f>(Table1[[#This Row],[Total Amount after sale]]/Table1[[#This Row],[Price after discount]])</f>
        <v>4.5173899707294178E-2</v>
      </c>
    </row>
    <row r="756" spans="1:19" x14ac:dyDescent="0.3">
      <c r="A756">
        <v>1008</v>
      </c>
      <c r="B756" s="1">
        <v>45212</v>
      </c>
      <c r="C756" s="1">
        <f>DATE(YEAR(Table1[[#This Row],[Sale_Date]]), MONTH(Table1[[#This Row],[Sale_Date]]), 1)</f>
        <v>45200</v>
      </c>
      <c r="D756" t="s">
        <v>38</v>
      </c>
      <c r="E756" t="s">
        <v>21</v>
      </c>
      <c r="F756" s="2">
        <v>1558.3</v>
      </c>
      <c r="G756">
        <v>24</v>
      </c>
      <c r="H756" t="s">
        <v>35</v>
      </c>
      <c r="I756" s="2">
        <v>1542.24</v>
      </c>
      <c r="J756" s="2">
        <v>1739.45</v>
      </c>
      <c r="K756" t="s">
        <v>17</v>
      </c>
      <c r="L756" s="5">
        <v>0.21</v>
      </c>
      <c r="M756" t="s">
        <v>27</v>
      </c>
      <c r="N756" t="s">
        <v>22</v>
      </c>
      <c r="O756" t="s">
        <v>41</v>
      </c>
      <c r="P756" s="4">
        <f t="shared" si="22"/>
        <v>32979.972000000002</v>
      </c>
      <c r="Q756" s="4">
        <f t="shared" si="23"/>
        <v>-4033.7879999999986</v>
      </c>
      <c r="R756" t="str">
        <f>IF( Table1[[#This Row],[Total Amount after sale]] &gt; 0,"PROFIT","LOSS")</f>
        <v>LOSS</v>
      </c>
      <c r="S756" s="3">
        <f>(Table1[[#This Row],[Total Amount after sale]]/Table1[[#This Row],[Price after discount]])</f>
        <v>-0.1223102311912211</v>
      </c>
    </row>
    <row r="757" spans="1:19" x14ac:dyDescent="0.3">
      <c r="A757">
        <v>1099</v>
      </c>
      <c r="B757" s="1">
        <v>45212</v>
      </c>
      <c r="C757" s="1">
        <f>DATE(YEAR(Table1[[#This Row],[Sale_Date]]), MONTH(Table1[[#This Row],[Sale_Date]]), 1)</f>
        <v>45200</v>
      </c>
      <c r="D757" t="s">
        <v>33</v>
      </c>
      <c r="E757" t="s">
        <v>15</v>
      </c>
      <c r="F757" s="2">
        <v>7614.15</v>
      </c>
      <c r="G757">
        <v>14</v>
      </c>
      <c r="H757" t="s">
        <v>26</v>
      </c>
      <c r="I757" s="2">
        <v>1996.64</v>
      </c>
      <c r="J757" s="2">
        <v>2341.4699999999998</v>
      </c>
      <c r="K757" t="s">
        <v>17</v>
      </c>
      <c r="L757" s="5">
        <v>0.22</v>
      </c>
      <c r="M757" t="s">
        <v>31</v>
      </c>
      <c r="N757" t="s">
        <v>19</v>
      </c>
      <c r="O757" t="s">
        <v>53</v>
      </c>
      <c r="P757" s="4">
        <f t="shared" si="22"/>
        <v>25568.852399999996</v>
      </c>
      <c r="Q757" s="4">
        <f t="shared" si="23"/>
        <v>-2384.1076000000035</v>
      </c>
      <c r="R757" t="str">
        <f>IF( Table1[[#This Row],[Total Amount after sale]] &gt; 0,"PROFIT","LOSS")</f>
        <v>LOSS</v>
      </c>
      <c r="S757" s="3">
        <f>(Table1[[#This Row],[Total Amount after sale]]/Table1[[#This Row],[Price after discount]])</f>
        <v>-9.3242651750768596E-2</v>
      </c>
    </row>
    <row r="758" spans="1:19" x14ac:dyDescent="0.3">
      <c r="A758">
        <v>1002</v>
      </c>
      <c r="B758" s="1">
        <v>45213</v>
      </c>
      <c r="C758" s="1">
        <f>DATE(YEAR(Table1[[#This Row],[Sale_Date]]), MONTH(Table1[[#This Row],[Sale_Date]]), 1)</f>
        <v>45200</v>
      </c>
      <c r="D758" t="s">
        <v>24</v>
      </c>
      <c r="E758" t="s">
        <v>25</v>
      </c>
      <c r="F758" s="2">
        <v>8951.5300000000007</v>
      </c>
      <c r="G758">
        <v>39</v>
      </c>
      <c r="H758" t="s">
        <v>29</v>
      </c>
      <c r="I758" s="2">
        <v>1004.71</v>
      </c>
      <c r="J758" s="2">
        <v>1389.35</v>
      </c>
      <c r="K758" t="s">
        <v>30</v>
      </c>
      <c r="L758" s="5">
        <v>0.24</v>
      </c>
      <c r="M758" t="s">
        <v>27</v>
      </c>
      <c r="N758" t="s">
        <v>19</v>
      </c>
      <c r="O758" t="s">
        <v>28</v>
      </c>
      <c r="P758" s="4">
        <f t="shared" si="22"/>
        <v>41180.333999999995</v>
      </c>
      <c r="Q758" s="4">
        <f t="shared" si="23"/>
        <v>1996.6439999999966</v>
      </c>
      <c r="R758" t="str">
        <f>IF( Table1[[#This Row],[Total Amount after sale]] &gt; 0,"PROFIT","LOSS")</f>
        <v>PROFIT</v>
      </c>
      <c r="S758" s="3">
        <f>(Table1[[#This Row],[Total Amount after sale]]/Table1[[#This Row],[Price after discount]])</f>
        <v>4.8485376539199432E-2</v>
      </c>
    </row>
    <row r="759" spans="1:19" x14ac:dyDescent="0.3">
      <c r="A759">
        <v>1076</v>
      </c>
      <c r="B759" s="1">
        <v>45213</v>
      </c>
      <c r="C759" s="1">
        <f>DATE(YEAR(Table1[[#This Row],[Sale_Date]]), MONTH(Table1[[#This Row],[Sale_Date]]), 1)</f>
        <v>45200</v>
      </c>
      <c r="D759" t="s">
        <v>33</v>
      </c>
      <c r="E759" t="s">
        <v>25</v>
      </c>
      <c r="F759" s="2">
        <v>8674.35</v>
      </c>
      <c r="G759">
        <v>23</v>
      </c>
      <c r="H759" t="s">
        <v>26</v>
      </c>
      <c r="I759" s="2">
        <v>1727.78</v>
      </c>
      <c r="J759" s="2">
        <v>1984.34</v>
      </c>
      <c r="K759" t="s">
        <v>17</v>
      </c>
      <c r="L759" s="5">
        <v>0.24</v>
      </c>
      <c r="M759" t="s">
        <v>27</v>
      </c>
      <c r="N759" t="s">
        <v>19</v>
      </c>
      <c r="O759" t="s">
        <v>44</v>
      </c>
      <c r="P759" s="4">
        <f t="shared" si="22"/>
        <v>34686.263199999994</v>
      </c>
      <c r="Q759" s="4">
        <f t="shared" si="23"/>
        <v>-5052.6768000000029</v>
      </c>
      <c r="R759" t="str">
        <f>IF( Table1[[#This Row],[Total Amount after sale]] &gt; 0,"PROFIT","LOSS")</f>
        <v>LOSS</v>
      </c>
      <c r="S759" s="3">
        <f>(Table1[[#This Row],[Total Amount after sale]]/Table1[[#This Row],[Price after discount]])</f>
        <v>-0.14566794845747477</v>
      </c>
    </row>
    <row r="760" spans="1:19" x14ac:dyDescent="0.3">
      <c r="A760">
        <v>1048</v>
      </c>
      <c r="B760" s="1">
        <v>45214</v>
      </c>
      <c r="C760" s="1">
        <f>DATE(YEAR(Table1[[#This Row],[Sale_Date]]), MONTH(Table1[[#This Row],[Sale_Date]]), 1)</f>
        <v>45200</v>
      </c>
      <c r="D760" t="s">
        <v>33</v>
      </c>
      <c r="E760" t="s">
        <v>15</v>
      </c>
      <c r="F760" s="2">
        <v>4510.8599999999997</v>
      </c>
      <c r="G760">
        <v>42</v>
      </c>
      <c r="H760" t="s">
        <v>35</v>
      </c>
      <c r="I760" s="2">
        <v>3139.99</v>
      </c>
      <c r="J760" s="2">
        <v>3349.37</v>
      </c>
      <c r="K760" t="s">
        <v>17</v>
      </c>
      <c r="L760" s="5">
        <v>0.13</v>
      </c>
      <c r="M760" t="s">
        <v>31</v>
      </c>
      <c r="N760" t="s">
        <v>22</v>
      </c>
      <c r="O760" t="s">
        <v>53</v>
      </c>
      <c r="P760" s="4">
        <f t="shared" si="22"/>
        <v>122385.9798</v>
      </c>
      <c r="Q760" s="4">
        <f t="shared" si="23"/>
        <v>-9493.6001999999899</v>
      </c>
      <c r="R760" t="str">
        <f>IF( Table1[[#This Row],[Total Amount after sale]] &gt; 0,"PROFIT","LOSS")</f>
        <v>LOSS</v>
      </c>
      <c r="S760" s="3">
        <f>(Table1[[#This Row],[Total Amount after sale]]/Table1[[#This Row],[Price after discount]])</f>
        <v>-7.7570978436534849E-2</v>
      </c>
    </row>
    <row r="761" spans="1:19" x14ac:dyDescent="0.3">
      <c r="A761">
        <v>1025</v>
      </c>
      <c r="B761" s="1">
        <v>45214</v>
      </c>
      <c r="C761" s="1">
        <f>DATE(YEAR(Table1[[#This Row],[Sale_Date]]), MONTH(Table1[[#This Row],[Sale_Date]]), 1)</f>
        <v>45200</v>
      </c>
      <c r="D761" t="s">
        <v>24</v>
      </c>
      <c r="E761" t="s">
        <v>15</v>
      </c>
      <c r="F761" s="2">
        <v>3422.54</v>
      </c>
      <c r="G761">
        <v>44</v>
      </c>
      <c r="H761" t="s">
        <v>26</v>
      </c>
      <c r="I761" s="2">
        <v>1485.72</v>
      </c>
      <c r="J761" s="2">
        <v>1717.97</v>
      </c>
      <c r="K761" t="s">
        <v>30</v>
      </c>
      <c r="L761" s="5">
        <v>0.02</v>
      </c>
      <c r="M761" t="s">
        <v>31</v>
      </c>
      <c r="N761" t="s">
        <v>22</v>
      </c>
      <c r="O761" t="s">
        <v>45</v>
      </c>
      <c r="P761" s="4">
        <f t="shared" si="22"/>
        <v>74078.866399999999</v>
      </c>
      <c r="Q761" s="4">
        <f t="shared" si="23"/>
        <v>8707.1863999999987</v>
      </c>
      <c r="R761" t="str">
        <f>IF( Table1[[#This Row],[Total Amount after sale]] &gt; 0,"PROFIT","LOSS")</f>
        <v>PROFIT</v>
      </c>
      <c r="S761" s="3">
        <f>(Table1[[#This Row],[Total Amount after sale]]/Table1[[#This Row],[Price after discount]])</f>
        <v>0.11753941202318396</v>
      </c>
    </row>
    <row r="762" spans="1:19" x14ac:dyDescent="0.3">
      <c r="A762">
        <v>1035</v>
      </c>
      <c r="B762" s="1">
        <v>45214</v>
      </c>
      <c r="C762" s="1">
        <f>DATE(YEAR(Table1[[#This Row],[Sale_Date]]), MONTH(Table1[[#This Row],[Sale_Date]]), 1)</f>
        <v>45200</v>
      </c>
      <c r="D762" t="s">
        <v>24</v>
      </c>
      <c r="E762" t="s">
        <v>15</v>
      </c>
      <c r="F762" s="2">
        <v>9476.2000000000007</v>
      </c>
      <c r="G762">
        <v>1</v>
      </c>
      <c r="H762" t="s">
        <v>16</v>
      </c>
      <c r="I762" s="2">
        <v>610.83000000000004</v>
      </c>
      <c r="J762" s="2">
        <v>808.69</v>
      </c>
      <c r="K762" t="s">
        <v>30</v>
      </c>
      <c r="L762" s="5">
        <v>0.22</v>
      </c>
      <c r="M762" t="s">
        <v>31</v>
      </c>
      <c r="N762" t="s">
        <v>19</v>
      </c>
      <c r="O762" t="s">
        <v>45</v>
      </c>
      <c r="P762" s="4">
        <f t="shared" si="22"/>
        <v>630.77820000000008</v>
      </c>
      <c r="Q762" s="4">
        <f t="shared" si="23"/>
        <v>19.948200000000043</v>
      </c>
      <c r="R762" t="str">
        <f>IF( Table1[[#This Row],[Total Amount after sale]] &gt; 0,"PROFIT","LOSS")</f>
        <v>PROFIT</v>
      </c>
      <c r="S762" s="3">
        <f>(Table1[[#This Row],[Total Amount after sale]]/Table1[[#This Row],[Price after discount]])</f>
        <v>3.1624745433497921E-2</v>
      </c>
    </row>
    <row r="763" spans="1:19" x14ac:dyDescent="0.3">
      <c r="A763">
        <v>1038</v>
      </c>
      <c r="B763" s="1">
        <v>45214</v>
      </c>
      <c r="C763" s="1">
        <f>DATE(YEAR(Table1[[#This Row],[Sale_Date]]), MONTH(Table1[[#This Row],[Sale_Date]]), 1)</f>
        <v>45200</v>
      </c>
      <c r="D763" t="s">
        <v>24</v>
      </c>
      <c r="E763" t="s">
        <v>21</v>
      </c>
      <c r="F763" s="2">
        <v>8020.03</v>
      </c>
      <c r="G763">
        <v>31</v>
      </c>
      <c r="H763" t="s">
        <v>29</v>
      </c>
      <c r="I763" s="2">
        <v>2709.84</v>
      </c>
      <c r="J763" s="2">
        <v>2766.51</v>
      </c>
      <c r="K763" t="s">
        <v>30</v>
      </c>
      <c r="L763" s="5">
        <v>0.19</v>
      </c>
      <c r="M763" t="s">
        <v>18</v>
      </c>
      <c r="N763" t="s">
        <v>22</v>
      </c>
      <c r="O763" t="s">
        <v>47</v>
      </c>
      <c r="P763" s="4">
        <f t="shared" si="22"/>
        <v>69467.066100000011</v>
      </c>
      <c r="Q763" s="4">
        <f t="shared" si="23"/>
        <v>-14537.973899999997</v>
      </c>
      <c r="R763" t="str">
        <f>IF( Table1[[#This Row],[Total Amount after sale]] &gt; 0,"PROFIT","LOSS")</f>
        <v>LOSS</v>
      </c>
      <c r="S763" s="3">
        <f>(Table1[[#This Row],[Total Amount after sale]]/Table1[[#This Row],[Price after discount]])</f>
        <v>-0.20927865125428113</v>
      </c>
    </row>
    <row r="764" spans="1:19" x14ac:dyDescent="0.3">
      <c r="A764">
        <v>1069</v>
      </c>
      <c r="B764" s="1">
        <v>45214</v>
      </c>
      <c r="C764" s="1">
        <f>DATE(YEAR(Table1[[#This Row],[Sale_Date]]), MONTH(Table1[[#This Row],[Sale_Date]]), 1)</f>
        <v>45200</v>
      </c>
      <c r="D764" t="s">
        <v>14</v>
      </c>
      <c r="E764" t="s">
        <v>21</v>
      </c>
      <c r="F764" s="2">
        <v>1688.58</v>
      </c>
      <c r="G764">
        <v>46</v>
      </c>
      <c r="H764" t="s">
        <v>26</v>
      </c>
      <c r="I764" s="2">
        <v>3663.51</v>
      </c>
      <c r="J764" s="2">
        <v>4007.98</v>
      </c>
      <c r="K764" t="s">
        <v>30</v>
      </c>
      <c r="L764" s="5">
        <v>0.13</v>
      </c>
      <c r="M764" t="s">
        <v>18</v>
      </c>
      <c r="N764" t="s">
        <v>19</v>
      </c>
      <c r="O764" t="s">
        <v>23</v>
      </c>
      <c r="P764" s="4">
        <f t="shared" si="22"/>
        <v>160399.3596</v>
      </c>
      <c r="Q764" s="4">
        <f t="shared" si="23"/>
        <v>-8122.1004000000166</v>
      </c>
      <c r="R764" t="str">
        <f>IF( Table1[[#This Row],[Total Amount after sale]] &gt; 0,"PROFIT","LOSS")</f>
        <v>LOSS</v>
      </c>
      <c r="S764" s="3">
        <f>(Table1[[#This Row],[Total Amount after sale]]/Table1[[#This Row],[Price after discount]])</f>
        <v>-5.0636738327725944E-2</v>
      </c>
    </row>
    <row r="765" spans="1:19" x14ac:dyDescent="0.3">
      <c r="A765">
        <v>1099</v>
      </c>
      <c r="B765" s="1">
        <v>45214</v>
      </c>
      <c r="C765" s="1">
        <f>DATE(YEAR(Table1[[#This Row],[Sale_Date]]), MONTH(Table1[[#This Row],[Sale_Date]]), 1)</f>
        <v>45200</v>
      </c>
      <c r="D765" t="s">
        <v>24</v>
      </c>
      <c r="E765" t="s">
        <v>34</v>
      </c>
      <c r="F765" s="2">
        <v>6807.56</v>
      </c>
      <c r="G765">
        <v>39</v>
      </c>
      <c r="H765" t="s">
        <v>35</v>
      </c>
      <c r="I765" s="2">
        <v>3592.89</v>
      </c>
      <c r="J765" s="2">
        <v>4004</v>
      </c>
      <c r="K765" t="s">
        <v>30</v>
      </c>
      <c r="L765" s="5">
        <v>0.13</v>
      </c>
      <c r="M765" t="s">
        <v>18</v>
      </c>
      <c r="N765" t="s">
        <v>19</v>
      </c>
      <c r="O765" t="s">
        <v>50</v>
      </c>
      <c r="P765" s="4">
        <f t="shared" si="22"/>
        <v>135855.72</v>
      </c>
      <c r="Q765" s="4">
        <f t="shared" si="23"/>
        <v>-4266.9899999999943</v>
      </c>
      <c r="R765" t="str">
        <f>IF( Table1[[#This Row],[Total Amount after sale]] &gt; 0,"PROFIT","LOSS")</f>
        <v>LOSS</v>
      </c>
      <c r="S765" s="3">
        <f>(Table1[[#This Row],[Total Amount after sale]]/Table1[[#This Row],[Price after discount]])</f>
        <v>-3.1408246925488263E-2</v>
      </c>
    </row>
    <row r="766" spans="1:19" x14ac:dyDescent="0.3">
      <c r="A766">
        <v>1090</v>
      </c>
      <c r="B766" s="1">
        <v>45214</v>
      </c>
      <c r="C766" s="1">
        <f>DATE(YEAR(Table1[[#This Row],[Sale_Date]]), MONTH(Table1[[#This Row],[Sale_Date]]), 1)</f>
        <v>45200</v>
      </c>
      <c r="D766" t="s">
        <v>33</v>
      </c>
      <c r="E766" t="s">
        <v>25</v>
      </c>
      <c r="F766" s="2">
        <v>9702.27</v>
      </c>
      <c r="G766">
        <v>48</v>
      </c>
      <c r="H766" t="s">
        <v>35</v>
      </c>
      <c r="I766" s="2">
        <v>4766.53</v>
      </c>
      <c r="J766" s="2">
        <v>5253.07</v>
      </c>
      <c r="K766" t="s">
        <v>17</v>
      </c>
      <c r="L766" s="5">
        <v>0.01</v>
      </c>
      <c r="M766" t="s">
        <v>27</v>
      </c>
      <c r="N766" t="s">
        <v>19</v>
      </c>
      <c r="O766" t="s">
        <v>44</v>
      </c>
      <c r="P766" s="4">
        <f t="shared" si="22"/>
        <v>249625.88639999996</v>
      </c>
      <c r="Q766" s="4">
        <f t="shared" si="23"/>
        <v>20832.446399999986</v>
      </c>
      <c r="R766" t="str">
        <f>IF( Table1[[#This Row],[Total Amount after sale]] &gt; 0,"PROFIT","LOSS")</f>
        <v>PROFIT</v>
      </c>
      <c r="S766" s="3">
        <f>(Table1[[#This Row],[Total Amount after sale]]/Table1[[#This Row],[Price after discount]])</f>
        <v>8.3454671710681966E-2</v>
      </c>
    </row>
    <row r="767" spans="1:19" x14ac:dyDescent="0.3">
      <c r="A767">
        <v>1053</v>
      </c>
      <c r="B767" s="1">
        <v>45215</v>
      </c>
      <c r="C767" s="1">
        <f>DATE(YEAR(Table1[[#This Row],[Sale_Date]]), MONTH(Table1[[#This Row],[Sale_Date]]), 1)</f>
        <v>45200</v>
      </c>
      <c r="D767" t="s">
        <v>14</v>
      </c>
      <c r="E767" t="s">
        <v>15</v>
      </c>
      <c r="F767" s="2">
        <v>2235.83</v>
      </c>
      <c r="G767">
        <v>48</v>
      </c>
      <c r="H767" t="s">
        <v>16</v>
      </c>
      <c r="I767" s="2">
        <v>121.19</v>
      </c>
      <c r="J767" s="2">
        <v>487.65</v>
      </c>
      <c r="K767" t="s">
        <v>30</v>
      </c>
      <c r="L767" s="5">
        <v>0.18</v>
      </c>
      <c r="M767" t="s">
        <v>18</v>
      </c>
      <c r="N767" t="s">
        <v>22</v>
      </c>
      <c r="O767" t="s">
        <v>20</v>
      </c>
      <c r="P767" s="4">
        <f t="shared" si="22"/>
        <v>19193.903999999999</v>
      </c>
      <c r="Q767" s="4">
        <f t="shared" si="23"/>
        <v>13376.784</v>
      </c>
      <c r="R767" t="str">
        <f>IF( Table1[[#This Row],[Total Amount after sale]] &gt; 0,"PROFIT","LOSS")</f>
        <v>PROFIT</v>
      </c>
      <c r="S767" s="3">
        <f>(Table1[[#This Row],[Total Amount after sale]]/Table1[[#This Row],[Price after discount]])</f>
        <v>0.69692877488602634</v>
      </c>
    </row>
    <row r="768" spans="1:19" x14ac:dyDescent="0.3">
      <c r="A768">
        <v>1015</v>
      </c>
      <c r="B768" s="1">
        <v>45215</v>
      </c>
      <c r="C768" s="1">
        <f>DATE(YEAR(Table1[[#This Row],[Sale_Date]]), MONTH(Table1[[#This Row],[Sale_Date]]), 1)</f>
        <v>45200</v>
      </c>
      <c r="D768" t="s">
        <v>33</v>
      </c>
      <c r="E768" t="s">
        <v>15</v>
      </c>
      <c r="F768" s="2">
        <v>7946.69</v>
      </c>
      <c r="G768">
        <v>23</v>
      </c>
      <c r="H768" t="s">
        <v>26</v>
      </c>
      <c r="I768" s="2">
        <v>2937.94</v>
      </c>
      <c r="J768" s="2">
        <v>3007.53</v>
      </c>
      <c r="K768" t="s">
        <v>17</v>
      </c>
      <c r="L768" s="5">
        <v>0.03</v>
      </c>
      <c r="M768" t="s">
        <v>18</v>
      </c>
      <c r="N768" t="s">
        <v>22</v>
      </c>
      <c r="O768" t="s">
        <v>53</v>
      </c>
      <c r="P768" s="4">
        <f t="shared" si="22"/>
        <v>67097.994300000006</v>
      </c>
      <c r="Q768" s="4">
        <f t="shared" si="23"/>
        <v>-474.62569999999459</v>
      </c>
      <c r="R768" t="str">
        <f>IF( Table1[[#This Row],[Total Amount after sale]] &gt; 0,"PROFIT","LOSS")</f>
        <v>LOSS</v>
      </c>
      <c r="S768" s="3">
        <f>(Table1[[#This Row],[Total Amount after sale]]/Table1[[#This Row],[Price after discount]])</f>
        <v>-7.0736197847868394E-3</v>
      </c>
    </row>
    <row r="769" spans="1:19" x14ac:dyDescent="0.3">
      <c r="A769">
        <v>1063</v>
      </c>
      <c r="B769" s="1">
        <v>45215</v>
      </c>
      <c r="C769" s="1">
        <f>DATE(YEAR(Table1[[#This Row],[Sale_Date]]), MONTH(Table1[[#This Row],[Sale_Date]]), 1)</f>
        <v>45200</v>
      </c>
      <c r="D769" t="s">
        <v>33</v>
      </c>
      <c r="E769" t="s">
        <v>15</v>
      </c>
      <c r="F769" s="2">
        <v>9775.35</v>
      </c>
      <c r="G769">
        <v>4</v>
      </c>
      <c r="H769" t="s">
        <v>29</v>
      </c>
      <c r="I769" s="2">
        <v>1134.67</v>
      </c>
      <c r="J769" s="2">
        <v>1201.3900000000001</v>
      </c>
      <c r="K769" t="s">
        <v>30</v>
      </c>
      <c r="L769" s="5">
        <v>0.3</v>
      </c>
      <c r="M769" t="s">
        <v>27</v>
      </c>
      <c r="N769" t="s">
        <v>22</v>
      </c>
      <c r="O769" t="s">
        <v>53</v>
      </c>
      <c r="P769" s="4">
        <f t="shared" si="22"/>
        <v>3363.8920000000003</v>
      </c>
      <c r="Q769" s="4">
        <f t="shared" si="23"/>
        <v>-1174.788</v>
      </c>
      <c r="R769" t="str">
        <f>IF( Table1[[#This Row],[Total Amount after sale]] &gt; 0,"PROFIT","LOSS")</f>
        <v>LOSS</v>
      </c>
      <c r="S769" s="3">
        <f>(Table1[[#This Row],[Total Amount after sale]]/Table1[[#This Row],[Price after discount]])</f>
        <v>-0.34923475545588262</v>
      </c>
    </row>
    <row r="770" spans="1:19" x14ac:dyDescent="0.3">
      <c r="A770">
        <v>1016</v>
      </c>
      <c r="B770" s="1">
        <v>45215</v>
      </c>
      <c r="C770" s="1">
        <f>DATE(YEAR(Table1[[#This Row],[Sale_Date]]), MONTH(Table1[[#This Row],[Sale_Date]]), 1)</f>
        <v>45200</v>
      </c>
      <c r="D770" t="s">
        <v>38</v>
      </c>
      <c r="E770" t="s">
        <v>21</v>
      </c>
      <c r="F770" s="2">
        <v>8786.9500000000007</v>
      </c>
      <c r="G770">
        <v>11</v>
      </c>
      <c r="H770" t="s">
        <v>35</v>
      </c>
      <c r="I770" s="2">
        <v>3094.57</v>
      </c>
      <c r="J770" s="2">
        <v>3565.6</v>
      </c>
      <c r="K770" t="s">
        <v>17</v>
      </c>
      <c r="L770" s="5">
        <v>0.1</v>
      </c>
      <c r="M770" t="s">
        <v>31</v>
      </c>
      <c r="N770" t="s">
        <v>22</v>
      </c>
      <c r="O770" t="s">
        <v>41</v>
      </c>
      <c r="P770" s="4">
        <f t="shared" ref="P770:P833" si="24" xml:space="preserve"> J770 * (1 - L770) * G770</f>
        <v>35299.440000000002</v>
      </c>
      <c r="Q770" s="4">
        <f t="shared" ref="Q770:Q833" si="25" xml:space="preserve"> (J770 * (1 - L770) - I770) * G770</f>
        <v>1259.1699999999978</v>
      </c>
      <c r="R770" t="str">
        <f>IF( Table1[[#This Row],[Total Amount after sale]] &gt; 0,"PROFIT","LOSS")</f>
        <v>PROFIT</v>
      </c>
      <c r="S770" s="3">
        <f>(Table1[[#This Row],[Total Amount after sale]]/Table1[[#This Row],[Price after discount]])</f>
        <v>3.5671104130830342E-2</v>
      </c>
    </row>
    <row r="771" spans="1:19" x14ac:dyDescent="0.3">
      <c r="A771">
        <v>1061</v>
      </c>
      <c r="B771" s="1">
        <v>45215</v>
      </c>
      <c r="C771" s="1">
        <f>DATE(YEAR(Table1[[#This Row],[Sale_Date]]), MONTH(Table1[[#This Row],[Sale_Date]]), 1)</f>
        <v>45200</v>
      </c>
      <c r="D771" t="s">
        <v>38</v>
      </c>
      <c r="E771" t="s">
        <v>34</v>
      </c>
      <c r="F771" s="2">
        <v>2227.64</v>
      </c>
      <c r="G771">
        <v>37</v>
      </c>
      <c r="H771" t="s">
        <v>16</v>
      </c>
      <c r="I771" s="2">
        <v>4651.7700000000004</v>
      </c>
      <c r="J771" s="2">
        <v>4984.3900000000003</v>
      </c>
      <c r="K771" t="s">
        <v>17</v>
      </c>
      <c r="L771" s="5">
        <v>0.12</v>
      </c>
      <c r="M771" t="s">
        <v>18</v>
      </c>
      <c r="N771" t="s">
        <v>22</v>
      </c>
      <c r="O771" t="s">
        <v>48</v>
      </c>
      <c r="P771" s="4">
        <f t="shared" si="24"/>
        <v>162291.7384</v>
      </c>
      <c r="Q771" s="4">
        <f t="shared" si="25"/>
        <v>-9823.7516000000032</v>
      </c>
      <c r="R771" t="str">
        <f>IF( Table1[[#This Row],[Total Amount after sale]] &gt; 0,"PROFIT","LOSS")</f>
        <v>LOSS</v>
      </c>
      <c r="S771" s="3">
        <f>(Table1[[#This Row],[Total Amount after sale]]/Table1[[#This Row],[Price after discount]])</f>
        <v>-6.0531433681407919E-2</v>
      </c>
    </row>
    <row r="772" spans="1:19" x14ac:dyDescent="0.3">
      <c r="A772">
        <v>1051</v>
      </c>
      <c r="B772" s="1">
        <v>45215</v>
      </c>
      <c r="C772" s="1">
        <f>DATE(YEAR(Table1[[#This Row],[Sale_Date]]), MONTH(Table1[[#This Row],[Sale_Date]]), 1)</f>
        <v>45200</v>
      </c>
      <c r="D772" t="s">
        <v>42</v>
      </c>
      <c r="E772" t="s">
        <v>21</v>
      </c>
      <c r="F772" s="2">
        <v>7617</v>
      </c>
      <c r="G772">
        <v>43</v>
      </c>
      <c r="H772" t="s">
        <v>29</v>
      </c>
      <c r="I772" s="2">
        <v>287.99</v>
      </c>
      <c r="J772" s="2">
        <v>666.64</v>
      </c>
      <c r="K772" t="s">
        <v>17</v>
      </c>
      <c r="L772" s="5">
        <v>0</v>
      </c>
      <c r="M772" t="s">
        <v>27</v>
      </c>
      <c r="N772" t="s">
        <v>19</v>
      </c>
      <c r="O772" t="s">
        <v>51</v>
      </c>
      <c r="P772" s="4">
        <f t="shared" si="24"/>
        <v>28665.52</v>
      </c>
      <c r="Q772" s="4">
        <f t="shared" si="25"/>
        <v>16281.949999999999</v>
      </c>
      <c r="R772" t="str">
        <f>IF( Table1[[#This Row],[Total Amount after sale]] &gt; 0,"PROFIT","LOSS")</f>
        <v>PROFIT</v>
      </c>
      <c r="S772" s="3">
        <f>(Table1[[#This Row],[Total Amount after sale]]/Table1[[#This Row],[Price after discount]])</f>
        <v>0.56799771990879633</v>
      </c>
    </row>
    <row r="773" spans="1:19" x14ac:dyDescent="0.3">
      <c r="A773">
        <v>1055</v>
      </c>
      <c r="B773" s="1">
        <v>45215</v>
      </c>
      <c r="C773" s="1">
        <f>DATE(YEAR(Table1[[#This Row],[Sale_Date]]), MONTH(Table1[[#This Row],[Sale_Date]]), 1)</f>
        <v>45200</v>
      </c>
      <c r="D773" t="s">
        <v>24</v>
      </c>
      <c r="E773" t="s">
        <v>34</v>
      </c>
      <c r="F773" s="2">
        <v>3093.95</v>
      </c>
      <c r="G773">
        <v>46</v>
      </c>
      <c r="H773" t="s">
        <v>29</v>
      </c>
      <c r="I773" s="2">
        <v>4173.5200000000004</v>
      </c>
      <c r="J773" s="2">
        <v>4294.8500000000004</v>
      </c>
      <c r="K773" t="s">
        <v>17</v>
      </c>
      <c r="L773" s="5">
        <v>0.03</v>
      </c>
      <c r="M773" t="s">
        <v>27</v>
      </c>
      <c r="N773" t="s">
        <v>22</v>
      </c>
      <c r="O773" t="s">
        <v>50</v>
      </c>
      <c r="P773" s="4">
        <f t="shared" si="24"/>
        <v>191636.20699999999</v>
      </c>
      <c r="Q773" s="4">
        <f t="shared" si="25"/>
        <v>-345.71300000001975</v>
      </c>
      <c r="R773" t="str">
        <f>IF( Table1[[#This Row],[Total Amount after sale]] &gt; 0,"PROFIT","LOSS")</f>
        <v>LOSS</v>
      </c>
      <c r="S773" s="3">
        <f>(Table1[[#This Row],[Total Amount after sale]]/Table1[[#This Row],[Price after discount]])</f>
        <v>-1.8040066927437139E-3</v>
      </c>
    </row>
    <row r="774" spans="1:19" x14ac:dyDescent="0.3">
      <c r="A774">
        <v>1088</v>
      </c>
      <c r="B774" s="1">
        <v>45217</v>
      </c>
      <c r="C774" s="1">
        <f>DATE(YEAR(Table1[[#This Row],[Sale_Date]]), MONTH(Table1[[#This Row],[Sale_Date]]), 1)</f>
        <v>45200</v>
      </c>
      <c r="D774" t="s">
        <v>38</v>
      </c>
      <c r="E774" t="s">
        <v>21</v>
      </c>
      <c r="F774" s="2">
        <v>177.63</v>
      </c>
      <c r="G774">
        <v>16</v>
      </c>
      <c r="H774" t="s">
        <v>16</v>
      </c>
      <c r="I774" s="2">
        <v>3016.9</v>
      </c>
      <c r="J774" s="2">
        <v>3040.73</v>
      </c>
      <c r="K774" t="s">
        <v>30</v>
      </c>
      <c r="L774" s="5">
        <v>0.26</v>
      </c>
      <c r="M774" t="s">
        <v>27</v>
      </c>
      <c r="N774" t="s">
        <v>22</v>
      </c>
      <c r="O774" t="s">
        <v>41</v>
      </c>
      <c r="P774" s="4">
        <f t="shared" si="24"/>
        <v>36002.243199999997</v>
      </c>
      <c r="Q774" s="4">
        <f t="shared" si="25"/>
        <v>-12268.156800000004</v>
      </c>
      <c r="R774" t="str">
        <f>IF( Table1[[#This Row],[Total Amount after sale]] &gt; 0,"PROFIT","LOSS")</f>
        <v>LOSS</v>
      </c>
      <c r="S774" s="3">
        <f>(Table1[[#This Row],[Total Amount after sale]]/Table1[[#This Row],[Price after discount]])</f>
        <v>-0.34076090014302235</v>
      </c>
    </row>
    <row r="775" spans="1:19" x14ac:dyDescent="0.3">
      <c r="A775">
        <v>1098</v>
      </c>
      <c r="B775" s="1">
        <v>45217</v>
      </c>
      <c r="C775" s="1">
        <f>DATE(YEAR(Table1[[#This Row],[Sale_Date]]), MONTH(Table1[[#This Row],[Sale_Date]]), 1)</f>
        <v>45200</v>
      </c>
      <c r="D775" t="s">
        <v>38</v>
      </c>
      <c r="E775" t="s">
        <v>21</v>
      </c>
      <c r="F775" s="2">
        <v>1600.79</v>
      </c>
      <c r="G775">
        <v>21</v>
      </c>
      <c r="H775" t="s">
        <v>16</v>
      </c>
      <c r="I775" s="2">
        <v>725.03</v>
      </c>
      <c r="J775" s="2">
        <v>828.94999999999902</v>
      </c>
      <c r="K775" t="s">
        <v>30</v>
      </c>
      <c r="L775" s="5">
        <v>0.18</v>
      </c>
      <c r="M775" t="s">
        <v>27</v>
      </c>
      <c r="N775" t="s">
        <v>19</v>
      </c>
      <c r="O775" t="s">
        <v>41</v>
      </c>
      <c r="P775" s="4">
        <f t="shared" si="24"/>
        <v>14274.518999999984</v>
      </c>
      <c r="Q775" s="4">
        <f t="shared" si="25"/>
        <v>-951.11100000001545</v>
      </c>
      <c r="R775" t="str">
        <f>IF( Table1[[#This Row],[Total Amount after sale]] &gt; 0,"PROFIT","LOSS")</f>
        <v>LOSS</v>
      </c>
      <c r="S775" s="3">
        <f>(Table1[[#This Row],[Total Amount after sale]]/Table1[[#This Row],[Price after discount]])</f>
        <v>-6.6629985921067919E-2</v>
      </c>
    </row>
    <row r="776" spans="1:19" x14ac:dyDescent="0.3">
      <c r="A776">
        <v>1059</v>
      </c>
      <c r="B776" s="1">
        <v>45217</v>
      </c>
      <c r="C776" s="1">
        <f>DATE(YEAR(Table1[[#This Row],[Sale_Date]]), MONTH(Table1[[#This Row],[Sale_Date]]), 1)</f>
        <v>45200</v>
      </c>
      <c r="D776" t="s">
        <v>42</v>
      </c>
      <c r="E776" t="s">
        <v>15</v>
      </c>
      <c r="F776" s="2">
        <v>5097.4799999999996</v>
      </c>
      <c r="G776">
        <v>28</v>
      </c>
      <c r="H776" t="s">
        <v>35</v>
      </c>
      <c r="I776" s="2">
        <v>224.32</v>
      </c>
      <c r="J776" s="2">
        <v>715.06</v>
      </c>
      <c r="K776" t="s">
        <v>17</v>
      </c>
      <c r="L776" s="5">
        <v>0.01</v>
      </c>
      <c r="M776" t="s">
        <v>31</v>
      </c>
      <c r="N776" t="s">
        <v>19</v>
      </c>
      <c r="O776" t="s">
        <v>49</v>
      </c>
      <c r="P776" s="4">
        <f t="shared" si="24"/>
        <v>19821.463199999998</v>
      </c>
      <c r="Q776" s="4">
        <f t="shared" si="25"/>
        <v>13540.503199999997</v>
      </c>
      <c r="R776" t="str">
        <f>IF( Table1[[#This Row],[Total Amount after sale]] &gt; 0,"PROFIT","LOSS")</f>
        <v>PROFIT</v>
      </c>
      <c r="S776" s="3">
        <f>(Table1[[#This Row],[Total Amount after sale]]/Table1[[#This Row],[Price after discount]])</f>
        <v>0.68312329233091118</v>
      </c>
    </row>
    <row r="777" spans="1:19" x14ac:dyDescent="0.3">
      <c r="A777">
        <v>1089</v>
      </c>
      <c r="B777" s="1">
        <v>45217</v>
      </c>
      <c r="C777" s="1">
        <f>DATE(YEAR(Table1[[#This Row],[Sale_Date]]), MONTH(Table1[[#This Row],[Sale_Date]]), 1)</f>
        <v>45200</v>
      </c>
      <c r="D777" t="s">
        <v>24</v>
      </c>
      <c r="E777" t="s">
        <v>15</v>
      </c>
      <c r="F777" s="2">
        <v>7405.38</v>
      </c>
      <c r="G777">
        <v>15</v>
      </c>
      <c r="H777" t="s">
        <v>26</v>
      </c>
      <c r="I777" s="2">
        <v>3841.05</v>
      </c>
      <c r="J777" s="2">
        <v>4323.62</v>
      </c>
      <c r="K777" t="s">
        <v>17</v>
      </c>
      <c r="L777" s="5">
        <v>0.28999999999999998</v>
      </c>
      <c r="M777" t="s">
        <v>31</v>
      </c>
      <c r="N777" t="s">
        <v>22</v>
      </c>
      <c r="O777" t="s">
        <v>45</v>
      </c>
      <c r="P777" s="4">
        <f t="shared" si="24"/>
        <v>46046.553</v>
      </c>
      <c r="Q777" s="4">
        <f t="shared" si="25"/>
        <v>-11569.197000000004</v>
      </c>
      <c r="R777" t="str">
        <f>IF( Table1[[#This Row],[Total Amount after sale]] &gt; 0,"PROFIT","LOSS")</f>
        <v>LOSS</v>
      </c>
      <c r="S777" s="3">
        <f>(Table1[[#This Row],[Total Amount after sale]]/Table1[[#This Row],[Price after discount]])</f>
        <v>-0.25125001213445886</v>
      </c>
    </row>
    <row r="778" spans="1:19" x14ac:dyDescent="0.3">
      <c r="A778">
        <v>1089</v>
      </c>
      <c r="B778" s="1">
        <v>45218</v>
      </c>
      <c r="C778" s="1">
        <f>DATE(YEAR(Table1[[#This Row],[Sale_Date]]), MONTH(Table1[[#This Row],[Sale_Date]]), 1)</f>
        <v>45200</v>
      </c>
      <c r="D778" t="s">
        <v>38</v>
      </c>
      <c r="E778" t="s">
        <v>21</v>
      </c>
      <c r="F778" s="2">
        <v>9933.2199999999993</v>
      </c>
      <c r="G778">
        <v>23</v>
      </c>
      <c r="H778" t="s">
        <v>26</v>
      </c>
      <c r="I778" s="2">
        <v>2120.54</v>
      </c>
      <c r="J778" s="2">
        <v>2597.67</v>
      </c>
      <c r="K778" t="s">
        <v>17</v>
      </c>
      <c r="L778" s="5">
        <v>0.26</v>
      </c>
      <c r="M778" t="s">
        <v>31</v>
      </c>
      <c r="N778" t="s">
        <v>22</v>
      </c>
      <c r="O778" t="s">
        <v>41</v>
      </c>
      <c r="P778" s="4">
        <f t="shared" si="24"/>
        <v>44212.343400000005</v>
      </c>
      <c r="Q778" s="4">
        <f t="shared" si="25"/>
        <v>-4560.0765999999967</v>
      </c>
      <c r="R778" t="str">
        <f>IF( Table1[[#This Row],[Total Amount after sale]] &gt; 0,"PROFIT","LOSS")</f>
        <v>LOSS</v>
      </c>
      <c r="S778" s="3">
        <f>(Table1[[#This Row],[Total Amount after sale]]/Table1[[#This Row],[Price after discount]])</f>
        <v>-0.10314035061982252</v>
      </c>
    </row>
    <row r="779" spans="1:19" x14ac:dyDescent="0.3">
      <c r="A779">
        <v>1049</v>
      </c>
      <c r="B779" s="1">
        <v>45218</v>
      </c>
      <c r="C779" s="1">
        <f>DATE(YEAR(Table1[[#This Row],[Sale_Date]]), MONTH(Table1[[#This Row],[Sale_Date]]), 1)</f>
        <v>45200</v>
      </c>
      <c r="D779" t="s">
        <v>38</v>
      </c>
      <c r="E779" t="s">
        <v>25</v>
      </c>
      <c r="F779" s="2">
        <v>1966.55</v>
      </c>
      <c r="G779">
        <v>30</v>
      </c>
      <c r="H779" t="s">
        <v>29</v>
      </c>
      <c r="I779" s="2">
        <v>4697.4399999999996</v>
      </c>
      <c r="J779" s="2">
        <v>4752.24</v>
      </c>
      <c r="K779" t="s">
        <v>30</v>
      </c>
      <c r="L779" s="5">
        <v>0.28000000000000003</v>
      </c>
      <c r="M779" t="s">
        <v>31</v>
      </c>
      <c r="N779" t="s">
        <v>19</v>
      </c>
      <c r="O779" t="s">
        <v>39</v>
      </c>
      <c r="P779" s="4">
        <f t="shared" si="24"/>
        <v>102648.38399999999</v>
      </c>
      <c r="Q779" s="4">
        <f t="shared" si="25"/>
        <v>-38274.815999999992</v>
      </c>
      <c r="R779" t="str">
        <f>IF( Table1[[#This Row],[Total Amount after sale]] &gt; 0,"PROFIT","LOSS")</f>
        <v>LOSS</v>
      </c>
      <c r="S779" s="3">
        <f>(Table1[[#This Row],[Total Amount after sale]]/Table1[[#This Row],[Price after discount]])</f>
        <v>-0.37287304980855807</v>
      </c>
    </row>
    <row r="780" spans="1:19" x14ac:dyDescent="0.3">
      <c r="A780">
        <v>1036</v>
      </c>
      <c r="B780" s="1">
        <v>45219</v>
      </c>
      <c r="C780" s="1">
        <f>DATE(YEAR(Table1[[#This Row],[Sale_Date]]), MONTH(Table1[[#This Row],[Sale_Date]]), 1)</f>
        <v>45200</v>
      </c>
      <c r="D780" t="s">
        <v>24</v>
      </c>
      <c r="E780" t="s">
        <v>15</v>
      </c>
      <c r="F780" s="2">
        <v>6499.94</v>
      </c>
      <c r="G780">
        <v>49</v>
      </c>
      <c r="H780" t="s">
        <v>29</v>
      </c>
      <c r="I780" s="2">
        <v>1247.0999999999999</v>
      </c>
      <c r="J780" s="2">
        <v>1429.4399999999901</v>
      </c>
      <c r="K780" t="s">
        <v>30</v>
      </c>
      <c r="L780" s="5">
        <v>0.16</v>
      </c>
      <c r="M780" t="s">
        <v>18</v>
      </c>
      <c r="N780" t="s">
        <v>19</v>
      </c>
      <c r="O780" t="s">
        <v>45</v>
      </c>
      <c r="P780" s="4">
        <f t="shared" si="24"/>
        <v>58835.750399999597</v>
      </c>
      <c r="Q780" s="4">
        <f t="shared" si="25"/>
        <v>-2272.1496000004017</v>
      </c>
      <c r="R780" t="str">
        <f>IF( Table1[[#This Row],[Total Amount after sale]] &gt; 0,"PROFIT","LOSS")</f>
        <v>LOSS</v>
      </c>
      <c r="S780" s="3">
        <f>(Table1[[#This Row],[Total Amount after sale]]/Table1[[#This Row],[Price after discount]])</f>
        <v>-3.8618519939883647E-2</v>
      </c>
    </row>
    <row r="781" spans="1:19" x14ac:dyDescent="0.3">
      <c r="A781">
        <v>1002</v>
      </c>
      <c r="B781" s="1">
        <v>45219</v>
      </c>
      <c r="C781" s="1">
        <f>DATE(YEAR(Table1[[#This Row],[Sale_Date]]), MONTH(Table1[[#This Row],[Sale_Date]]), 1)</f>
        <v>45200</v>
      </c>
      <c r="D781" t="s">
        <v>24</v>
      </c>
      <c r="E781" t="s">
        <v>15</v>
      </c>
      <c r="F781" s="2">
        <v>5842.88</v>
      </c>
      <c r="G781">
        <v>30</v>
      </c>
      <c r="H781" t="s">
        <v>29</v>
      </c>
      <c r="I781" s="2">
        <v>4646.55</v>
      </c>
      <c r="J781" s="2">
        <v>4784.28</v>
      </c>
      <c r="K781" t="s">
        <v>17</v>
      </c>
      <c r="L781" s="5">
        <v>0.1</v>
      </c>
      <c r="M781" t="s">
        <v>31</v>
      </c>
      <c r="N781" t="s">
        <v>22</v>
      </c>
      <c r="O781" t="s">
        <v>45</v>
      </c>
      <c r="P781" s="4">
        <f t="shared" si="24"/>
        <v>129175.56</v>
      </c>
      <c r="Q781" s="4">
        <f t="shared" si="25"/>
        <v>-10220.94000000001</v>
      </c>
      <c r="R781" t="str">
        <f>IF( Table1[[#This Row],[Total Amount after sale]] &gt; 0,"PROFIT","LOSS")</f>
        <v>LOSS</v>
      </c>
      <c r="S781" s="3">
        <f>(Table1[[#This Row],[Total Amount after sale]]/Table1[[#This Row],[Price after discount]])</f>
        <v>-7.9124410221252453E-2</v>
      </c>
    </row>
    <row r="782" spans="1:19" x14ac:dyDescent="0.3">
      <c r="A782">
        <v>1099</v>
      </c>
      <c r="B782" s="1">
        <v>45219</v>
      </c>
      <c r="C782" s="1">
        <f>DATE(YEAR(Table1[[#This Row],[Sale_Date]]), MONTH(Table1[[#This Row],[Sale_Date]]), 1)</f>
        <v>45200</v>
      </c>
      <c r="D782" t="s">
        <v>24</v>
      </c>
      <c r="E782" t="s">
        <v>25</v>
      </c>
      <c r="F782" s="2">
        <v>7859.22</v>
      </c>
      <c r="G782">
        <v>23</v>
      </c>
      <c r="H782" t="s">
        <v>29</v>
      </c>
      <c r="I782" s="2">
        <v>93.45</v>
      </c>
      <c r="J782" s="2">
        <v>181.62</v>
      </c>
      <c r="K782" t="s">
        <v>17</v>
      </c>
      <c r="L782" s="5">
        <v>0.3</v>
      </c>
      <c r="M782" t="s">
        <v>27</v>
      </c>
      <c r="N782" t="s">
        <v>22</v>
      </c>
      <c r="O782" t="s">
        <v>28</v>
      </c>
      <c r="P782" s="4">
        <f t="shared" si="24"/>
        <v>2924.0819999999999</v>
      </c>
      <c r="Q782" s="4">
        <f t="shared" si="25"/>
        <v>774.73199999999997</v>
      </c>
      <c r="R782" t="str">
        <f>IF( Table1[[#This Row],[Total Amount after sale]] &gt; 0,"PROFIT","LOSS")</f>
        <v>PROFIT</v>
      </c>
      <c r="S782" s="3">
        <f>(Table1[[#This Row],[Total Amount after sale]]/Table1[[#This Row],[Price after discount]])</f>
        <v>0.26494879418566236</v>
      </c>
    </row>
    <row r="783" spans="1:19" x14ac:dyDescent="0.3">
      <c r="A783">
        <v>1048</v>
      </c>
      <c r="B783" s="1">
        <v>45219</v>
      </c>
      <c r="C783" s="1">
        <f>DATE(YEAR(Table1[[#This Row],[Sale_Date]]), MONTH(Table1[[#This Row],[Sale_Date]]), 1)</f>
        <v>45200</v>
      </c>
      <c r="D783" t="s">
        <v>42</v>
      </c>
      <c r="E783" t="s">
        <v>25</v>
      </c>
      <c r="F783" s="2">
        <v>9688.52</v>
      </c>
      <c r="G783">
        <v>6</v>
      </c>
      <c r="H783" t="s">
        <v>35</v>
      </c>
      <c r="I783" s="2">
        <v>3717.3</v>
      </c>
      <c r="J783" s="2">
        <v>4061.37</v>
      </c>
      <c r="K783" t="s">
        <v>30</v>
      </c>
      <c r="L783" s="5">
        <v>0.03</v>
      </c>
      <c r="M783" t="s">
        <v>27</v>
      </c>
      <c r="N783" t="s">
        <v>22</v>
      </c>
      <c r="O783" t="s">
        <v>43</v>
      </c>
      <c r="P783" s="4">
        <f t="shared" si="24"/>
        <v>23637.1734</v>
      </c>
      <c r="Q783" s="4">
        <f t="shared" si="25"/>
        <v>1333.3733999999977</v>
      </c>
      <c r="R783" t="str">
        <f>IF( Table1[[#This Row],[Total Amount after sale]] &gt; 0,"PROFIT","LOSS")</f>
        <v>PROFIT</v>
      </c>
      <c r="S783" s="3">
        <f>(Table1[[#This Row],[Total Amount after sale]]/Table1[[#This Row],[Price after discount]])</f>
        <v>5.6410018974603696E-2</v>
      </c>
    </row>
    <row r="784" spans="1:19" x14ac:dyDescent="0.3">
      <c r="A784">
        <v>1043</v>
      </c>
      <c r="B784" s="1">
        <v>45219</v>
      </c>
      <c r="C784" s="1">
        <f>DATE(YEAR(Table1[[#This Row],[Sale_Date]]), MONTH(Table1[[#This Row],[Sale_Date]]), 1)</f>
        <v>45200</v>
      </c>
      <c r="D784" t="s">
        <v>33</v>
      </c>
      <c r="E784" t="s">
        <v>25</v>
      </c>
      <c r="F784" s="2">
        <v>5081.01</v>
      </c>
      <c r="G784">
        <v>22</v>
      </c>
      <c r="H784" t="s">
        <v>26</v>
      </c>
      <c r="I784" s="2">
        <v>530.04</v>
      </c>
      <c r="J784" s="2">
        <v>759.31999999999903</v>
      </c>
      <c r="K784" t="s">
        <v>17</v>
      </c>
      <c r="L784" s="5">
        <v>0.17</v>
      </c>
      <c r="M784" t="s">
        <v>27</v>
      </c>
      <c r="N784" t="s">
        <v>22</v>
      </c>
      <c r="O784" t="s">
        <v>44</v>
      </c>
      <c r="P784" s="4">
        <f t="shared" si="24"/>
        <v>13865.183199999981</v>
      </c>
      <c r="Q784" s="4">
        <f t="shared" si="25"/>
        <v>2204.303199999983</v>
      </c>
      <c r="R784" t="str">
        <f>IF( Table1[[#This Row],[Total Amount after sale]] &gt; 0,"PROFIT","LOSS")</f>
        <v>PROFIT</v>
      </c>
      <c r="S784" s="3">
        <f>(Table1[[#This Row],[Total Amount after sale]]/Table1[[#This Row],[Price after discount]])</f>
        <v>0.15898118100595929</v>
      </c>
    </row>
    <row r="785" spans="1:19" x14ac:dyDescent="0.3">
      <c r="A785">
        <v>1096</v>
      </c>
      <c r="B785" s="1">
        <v>45219</v>
      </c>
      <c r="C785" s="1">
        <f>DATE(YEAR(Table1[[#This Row],[Sale_Date]]), MONTH(Table1[[#This Row],[Sale_Date]]), 1)</f>
        <v>45200</v>
      </c>
      <c r="D785" t="s">
        <v>24</v>
      </c>
      <c r="E785" t="s">
        <v>25</v>
      </c>
      <c r="F785" s="2">
        <v>7051.25</v>
      </c>
      <c r="G785">
        <v>10</v>
      </c>
      <c r="H785" t="s">
        <v>29</v>
      </c>
      <c r="I785" s="2">
        <v>2927.02</v>
      </c>
      <c r="J785" s="2">
        <v>3387.21</v>
      </c>
      <c r="K785" t="s">
        <v>17</v>
      </c>
      <c r="L785" s="5">
        <v>0.12</v>
      </c>
      <c r="M785" t="s">
        <v>18</v>
      </c>
      <c r="N785" t="s">
        <v>22</v>
      </c>
      <c r="O785" t="s">
        <v>28</v>
      </c>
      <c r="P785" s="4">
        <f t="shared" si="24"/>
        <v>29807.448</v>
      </c>
      <c r="Q785" s="4">
        <f t="shared" si="25"/>
        <v>537.24799999999959</v>
      </c>
      <c r="R785" t="str">
        <f>IF( Table1[[#This Row],[Total Amount after sale]] &gt; 0,"PROFIT","LOSS")</f>
        <v>PROFIT</v>
      </c>
      <c r="S785" s="3">
        <f>(Table1[[#This Row],[Total Amount after sale]]/Table1[[#This Row],[Price after discount]])</f>
        <v>1.8023951597600694E-2</v>
      </c>
    </row>
    <row r="786" spans="1:19" x14ac:dyDescent="0.3">
      <c r="A786">
        <v>1013</v>
      </c>
      <c r="B786" s="1">
        <v>45219</v>
      </c>
      <c r="C786" s="1">
        <f>DATE(YEAR(Table1[[#This Row],[Sale_Date]]), MONTH(Table1[[#This Row],[Sale_Date]]), 1)</f>
        <v>45200</v>
      </c>
      <c r="D786" t="s">
        <v>24</v>
      </c>
      <c r="E786" t="s">
        <v>34</v>
      </c>
      <c r="F786" s="2">
        <v>6095.82</v>
      </c>
      <c r="G786">
        <v>46</v>
      </c>
      <c r="H786" t="s">
        <v>35</v>
      </c>
      <c r="I786" s="2">
        <v>1648.8</v>
      </c>
      <c r="J786" s="2">
        <v>1670.36</v>
      </c>
      <c r="K786" t="s">
        <v>17</v>
      </c>
      <c r="L786" s="5">
        <v>0.09</v>
      </c>
      <c r="M786" t="s">
        <v>31</v>
      </c>
      <c r="N786" t="s">
        <v>22</v>
      </c>
      <c r="O786" t="s">
        <v>50</v>
      </c>
      <c r="P786" s="4">
        <f t="shared" si="24"/>
        <v>69921.2696</v>
      </c>
      <c r="Q786" s="4">
        <f t="shared" si="25"/>
        <v>-5923.5304000000033</v>
      </c>
      <c r="R786" t="str">
        <f>IF( Table1[[#This Row],[Total Amount after sale]] &gt; 0,"PROFIT","LOSS")</f>
        <v>LOSS</v>
      </c>
      <c r="S786" s="3">
        <f>(Table1[[#This Row],[Total Amount after sale]]/Table1[[#This Row],[Price after discount]])</f>
        <v>-8.4717145925508247E-2</v>
      </c>
    </row>
    <row r="787" spans="1:19" x14ac:dyDescent="0.3">
      <c r="A787">
        <v>1086</v>
      </c>
      <c r="B787" s="1">
        <v>45219</v>
      </c>
      <c r="C787" s="1">
        <f>DATE(YEAR(Table1[[#This Row],[Sale_Date]]), MONTH(Table1[[#This Row],[Sale_Date]]), 1)</f>
        <v>45200</v>
      </c>
      <c r="D787" t="s">
        <v>24</v>
      </c>
      <c r="E787" t="s">
        <v>25</v>
      </c>
      <c r="F787" s="2">
        <v>3577.07</v>
      </c>
      <c r="G787">
        <v>32</v>
      </c>
      <c r="H787" t="s">
        <v>16</v>
      </c>
      <c r="I787" s="2">
        <v>84.86</v>
      </c>
      <c r="J787" s="2">
        <v>517.17999999999995</v>
      </c>
      <c r="K787" t="s">
        <v>17</v>
      </c>
      <c r="L787" s="5">
        <v>0.2</v>
      </c>
      <c r="M787" t="s">
        <v>31</v>
      </c>
      <c r="N787" t="s">
        <v>22</v>
      </c>
      <c r="O787" t="s">
        <v>28</v>
      </c>
      <c r="P787" s="4">
        <f t="shared" si="24"/>
        <v>13239.807999999999</v>
      </c>
      <c r="Q787" s="4">
        <f t="shared" si="25"/>
        <v>10524.287999999999</v>
      </c>
      <c r="R787" t="str">
        <f>IF( Table1[[#This Row],[Total Amount after sale]] &gt; 0,"PROFIT","LOSS")</f>
        <v>PROFIT</v>
      </c>
      <c r="S787" s="3">
        <f>(Table1[[#This Row],[Total Amount after sale]]/Table1[[#This Row],[Price after discount]])</f>
        <v>0.79489732781623412</v>
      </c>
    </row>
    <row r="788" spans="1:19" x14ac:dyDescent="0.3">
      <c r="A788">
        <v>1013</v>
      </c>
      <c r="B788" s="1">
        <v>45220</v>
      </c>
      <c r="C788" s="1">
        <f>DATE(YEAR(Table1[[#This Row],[Sale_Date]]), MONTH(Table1[[#This Row],[Sale_Date]]), 1)</f>
        <v>45200</v>
      </c>
      <c r="D788" t="s">
        <v>24</v>
      </c>
      <c r="E788" t="s">
        <v>34</v>
      </c>
      <c r="F788" s="2">
        <v>5039.07</v>
      </c>
      <c r="G788">
        <v>20</v>
      </c>
      <c r="H788" t="s">
        <v>35</v>
      </c>
      <c r="I788" s="2">
        <v>1533.36</v>
      </c>
      <c r="J788" s="2">
        <v>1649.73999999999</v>
      </c>
      <c r="K788" t="s">
        <v>17</v>
      </c>
      <c r="L788" s="5">
        <v>0.1</v>
      </c>
      <c r="M788" t="s">
        <v>27</v>
      </c>
      <c r="N788" t="s">
        <v>19</v>
      </c>
      <c r="O788" t="s">
        <v>50</v>
      </c>
      <c r="P788" s="4">
        <f t="shared" si="24"/>
        <v>29695.319999999818</v>
      </c>
      <c r="Q788" s="4">
        <f t="shared" si="25"/>
        <v>-971.88000000017837</v>
      </c>
      <c r="R788" t="str">
        <f>IF( Table1[[#This Row],[Total Amount after sale]] &gt; 0,"PROFIT","LOSS")</f>
        <v>LOSS</v>
      </c>
      <c r="S788" s="3">
        <f>(Table1[[#This Row],[Total Amount after sale]]/Table1[[#This Row],[Price after discount]])</f>
        <v>-3.2728389524012011E-2</v>
      </c>
    </row>
    <row r="789" spans="1:19" x14ac:dyDescent="0.3">
      <c r="A789">
        <v>1073</v>
      </c>
      <c r="B789" s="1">
        <v>45220</v>
      </c>
      <c r="C789" s="1">
        <f>DATE(YEAR(Table1[[#This Row],[Sale_Date]]), MONTH(Table1[[#This Row],[Sale_Date]]), 1)</f>
        <v>45200</v>
      </c>
      <c r="D789" t="s">
        <v>42</v>
      </c>
      <c r="E789" t="s">
        <v>21</v>
      </c>
      <c r="F789" s="2">
        <v>1365.88</v>
      </c>
      <c r="G789">
        <v>45</v>
      </c>
      <c r="H789" t="s">
        <v>16</v>
      </c>
      <c r="I789" s="2">
        <v>2558.09</v>
      </c>
      <c r="J789" s="2">
        <v>2958.55</v>
      </c>
      <c r="K789" t="s">
        <v>30</v>
      </c>
      <c r="L789" s="5">
        <v>0.08</v>
      </c>
      <c r="M789" t="s">
        <v>18</v>
      </c>
      <c r="N789" t="s">
        <v>19</v>
      </c>
      <c r="O789" t="s">
        <v>51</v>
      </c>
      <c r="P789" s="4">
        <f t="shared" si="24"/>
        <v>122483.97000000002</v>
      </c>
      <c r="Q789" s="4">
        <f t="shared" si="25"/>
        <v>7369.9200000000128</v>
      </c>
      <c r="R789" t="str">
        <f>IF( Table1[[#This Row],[Total Amount after sale]] &gt; 0,"PROFIT","LOSS")</f>
        <v>PROFIT</v>
      </c>
      <c r="S789" s="3">
        <f>(Table1[[#This Row],[Total Amount after sale]]/Table1[[#This Row],[Price after discount]])</f>
        <v>6.0170485982778091E-2</v>
      </c>
    </row>
    <row r="790" spans="1:19" x14ac:dyDescent="0.3">
      <c r="A790">
        <v>1012</v>
      </c>
      <c r="B790" s="1">
        <v>45221</v>
      </c>
      <c r="C790" s="1">
        <f>DATE(YEAR(Table1[[#This Row],[Sale_Date]]), MONTH(Table1[[#This Row],[Sale_Date]]), 1)</f>
        <v>45200</v>
      </c>
      <c r="D790" t="s">
        <v>24</v>
      </c>
      <c r="E790" t="s">
        <v>15</v>
      </c>
      <c r="F790" s="2">
        <v>4384.88</v>
      </c>
      <c r="G790">
        <v>34</v>
      </c>
      <c r="H790" t="s">
        <v>16</v>
      </c>
      <c r="I790" s="2">
        <v>2462.5500000000002</v>
      </c>
      <c r="J790" s="2">
        <v>2521.77</v>
      </c>
      <c r="K790" t="s">
        <v>30</v>
      </c>
      <c r="L790" s="5">
        <v>0.21</v>
      </c>
      <c r="M790" t="s">
        <v>27</v>
      </c>
      <c r="N790" t="s">
        <v>22</v>
      </c>
      <c r="O790" t="s">
        <v>45</v>
      </c>
      <c r="P790" s="4">
        <f t="shared" si="24"/>
        <v>67734.742200000008</v>
      </c>
      <c r="Q790" s="4">
        <f t="shared" si="25"/>
        <v>-15991.957800000006</v>
      </c>
      <c r="R790" t="str">
        <f>IF( Table1[[#This Row],[Total Amount after sale]] &gt; 0,"PROFIT","LOSS")</f>
        <v>LOSS</v>
      </c>
      <c r="S790" s="3">
        <f>(Table1[[#This Row],[Total Amount after sale]]/Table1[[#This Row],[Price after discount]])</f>
        <v>-0.23609682831272374</v>
      </c>
    </row>
    <row r="791" spans="1:19" x14ac:dyDescent="0.3">
      <c r="A791">
        <v>1060</v>
      </c>
      <c r="B791" s="1">
        <v>45221</v>
      </c>
      <c r="C791" s="1">
        <f>DATE(YEAR(Table1[[#This Row],[Sale_Date]]), MONTH(Table1[[#This Row],[Sale_Date]]), 1)</f>
        <v>45200</v>
      </c>
      <c r="D791" t="s">
        <v>14</v>
      </c>
      <c r="E791" t="s">
        <v>15</v>
      </c>
      <c r="F791" s="2">
        <v>2661.25</v>
      </c>
      <c r="G791">
        <v>11</v>
      </c>
      <c r="H791" t="s">
        <v>16</v>
      </c>
      <c r="I791" s="2">
        <v>3648.04</v>
      </c>
      <c r="J791" s="2">
        <v>4143.51</v>
      </c>
      <c r="K791" t="s">
        <v>17</v>
      </c>
      <c r="L791" s="5">
        <v>0.17</v>
      </c>
      <c r="M791" t="s">
        <v>31</v>
      </c>
      <c r="N791" t="s">
        <v>22</v>
      </c>
      <c r="O791" t="s">
        <v>20</v>
      </c>
      <c r="P791" s="4">
        <f t="shared" si="24"/>
        <v>37830.246299999999</v>
      </c>
      <c r="Q791" s="4">
        <f t="shared" si="25"/>
        <v>-2298.1936999999998</v>
      </c>
      <c r="R791" t="str">
        <f>IF( Table1[[#This Row],[Total Amount after sale]] &gt; 0,"PROFIT","LOSS")</f>
        <v>LOSS</v>
      </c>
      <c r="S791" s="3">
        <f>(Table1[[#This Row],[Total Amount after sale]]/Table1[[#This Row],[Price after discount]])</f>
        <v>-6.0750164875347373E-2</v>
      </c>
    </row>
    <row r="792" spans="1:19" x14ac:dyDescent="0.3">
      <c r="A792">
        <v>1099</v>
      </c>
      <c r="B792" s="1">
        <v>45221</v>
      </c>
      <c r="C792" s="1">
        <f>DATE(YEAR(Table1[[#This Row],[Sale_Date]]), MONTH(Table1[[#This Row],[Sale_Date]]), 1)</f>
        <v>45200</v>
      </c>
      <c r="D792" t="s">
        <v>14</v>
      </c>
      <c r="E792" t="s">
        <v>21</v>
      </c>
      <c r="F792" s="2">
        <v>1514.14</v>
      </c>
      <c r="G792">
        <v>43</v>
      </c>
      <c r="H792" t="s">
        <v>29</v>
      </c>
      <c r="I792" s="2">
        <v>906.47</v>
      </c>
      <c r="J792" s="2">
        <v>1283.04</v>
      </c>
      <c r="K792" t="s">
        <v>30</v>
      </c>
      <c r="L792" s="5">
        <v>0.24</v>
      </c>
      <c r="M792" t="s">
        <v>18</v>
      </c>
      <c r="N792" t="s">
        <v>19</v>
      </c>
      <c r="O792" t="s">
        <v>23</v>
      </c>
      <c r="P792" s="4">
        <f t="shared" si="24"/>
        <v>41929.747199999998</v>
      </c>
      <c r="Q792" s="4">
        <f t="shared" si="25"/>
        <v>2951.5371999999998</v>
      </c>
      <c r="R792" t="str">
        <f>IF( Table1[[#This Row],[Total Amount after sale]] &gt; 0,"PROFIT","LOSS")</f>
        <v>PROFIT</v>
      </c>
      <c r="S792" s="3">
        <f>(Table1[[#This Row],[Total Amount after sale]]/Table1[[#This Row],[Price after discount]])</f>
        <v>7.0392439666318807E-2</v>
      </c>
    </row>
    <row r="793" spans="1:19" x14ac:dyDescent="0.3">
      <c r="A793">
        <v>1057</v>
      </c>
      <c r="B793" s="1">
        <v>45221</v>
      </c>
      <c r="C793" s="1">
        <f>DATE(YEAR(Table1[[#This Row],[Sale_Date]]), MONTH(Table1[[#This Row],[Sale_Date]]), 1)</f>
        <v>45200</v>
      </c>
      <c r="D793" t="s">
        <v>38</v>
      </c>
      <c r="E793" t="s">
        <v>25</v>
      </c>
      <c r="F793" s="2">
        <v>3297.97</v>
      </c>
      <c r="G793">
        <v>40</v>
      </c>
      <c r="H793" t="s">
        <v>29</v>
      </c>
      <c r="I793" s="2">
        <v>3233.37</v>
      </c>
      <c r="J793" s="2">
        <v>3723.21</v>
      </c>
      <c r="K793" t="s">
        <v>30</v>
      </c>
      <c r="L793" s="5">
        <v>0.22</v>
      </c>
      <c r="M793" t="s">
        <v>27</v>
      </c>
      <c r="N793" t="s">
        <v>22</v>
      </c>
      <c r="O793" t="s">
        <v>39</v>
      </c>
      <c r="P793" s="4">
        <f t="shared" si="24"/>
        <v>116164.15200000002</v>
      </c>
      <c r="Q793" s="4">
        <f t="shared" si="25"/>
        <v>-13170.647999999983</v>
      </c>
      <c r="R793" t="str">
        <f>IF( Table1[[#This Row],[Total Amount after sale]] &gt; 0,"PROFIT","LOSS")</f>
        <v>LOSS</v>
      </c>
      <c r="S793" s="3">
        <f>(Table1[[#This Row],[Total Amount after sale]]/Table1[[#This Row],[Price after discount]])</f>
        <v>-0.11337962506712038</v>
      </c>
    </row>
    <row r="794" spans="1:19" x14ac:dyDescent="0.3">
      <c r="A794">
        <v>1060</v>
      </c>
      <c r="B794" s="1">
        <v>45222</v>
      </c>
      <c r="C794" s="1">
        <f>DATE(YEAR(Table1[[#This Row],[Sale_Date]]), MONTH(Table1[[#This Row],[Sale_Date]]), 1)</f>
        <v>45200</v>
      </c>
      <c r="D794" t="s">
        <v>14</v>
      </c>
      <c r="E794" t="s">
        <v>21</v>
      </c>
      <c r="F794" s="2">
        <v>6395.95</v>
      </c>
      <c r="G794">
        <v>46</v>
      </c>
      <c r="H794" t="s">
        <v>29</v>
      </c>
      <c r="I794" s="2">
        <v>1747.05</v>
      </c>
      <c r="J794" s="2">
        <v>1830.27</v>
      </c>
      <c r="K794" t="s">
        <v>30</v>
      </c>
      <c r="L794" s="5">
        <v>0.15</v>
      </c>
      <c r="M794" t="s">
        <v>27</v>
      </c>
      <c r="N794" t="s">
        <v>22</v>
      </c>
      <c r="O794" t="s">
        <v>23</v>
      </c>
      <c r="P794" s="4">
        <f t="shared" si="24"/>
        <v>71563.557000000001</v>
      </c>
      <c r="Q794" s="4">
        <f t="shared" si="25"/>
        <v>-8800.7430000000022</v>
      </c>
      <c r="R794" t="str">
        <f>IF( Table1[[#This Row],[Total Amount after sale]] &gt; 0,"PROFIT","LOSS")</f>
        <v>LOSS</v>
      </c>
      <c r="S794" s="3">
        <f>(Table1[[#This Row],[Total Amount after sale]]/Table1[[#This Row],[Price after discount]])</f>
        <v>-0.12297799842453334</v>
      </c>
    </row>
    <row r="795" spans="1:19" x14ac:dyDescent="0.3">
      <c r="A795">
        <v>1073</v>
      </c>
      <c r="B795" s="1">
        <v>45222</v>
      </c>
      <c r="C795" s="1">
        <f>DATE(YEAR(Table1[[#This Row],[Sale_Date]]), MONTH(Table1[[#This Row],[Sale_Date]]), 1)</f>
        <v>45200</v>
      </c>
      <c r="D795" t="s">
        <v>33</v>
      </c>
      <c r="E795" t="s">
        <v>25</v>
      </c>
      <c r="F795" s="2">
        <v>4650.68</v>
      </c>
      <c r="G795">
        <v>45</v>
      </c>
      <c r="H795" t="s">
        <v>29</v>
      </c>
      <c r="I795" s="2">
        <v>4369.5</v>
      </c>
      <c r="J795" s="2">
        <v>4381.8900000000003</v>
      </c>
      <c r="K795" t="s">
        <v>17</v>
      </c>
      <c r="L795" s="5">
        <v>0.02</v>
      </c>
      <c r="M795" t="s">
        <v>31</v>
      </c>
      <c r="N795" t="s">
        <v>22</v>
      </c>
      <c r="O795" t="s">
        <v>44</v>
      </c>
      <c r="P795" s="4">
        <f t="shared" si="24"/>
        <v>193241.34899999999</v>
      </c>
      <c r="Q795" s="4">
        <f t="shared" si="25"/>
        <v>-3386.1510000000044</v>
      </c>
      <c r="R795" t="str">
        <f>IF( Table1[[#This Row],[Total Amount after sale]] &gt; 0,"PROFIT","LOSS")</f>
        <v>LOSS</v>
      </c>
      <c r="S795" s="3">
        <f>(Table1[[#This Row],[Total Amount after sale]]/Table1[[#This Row],[Price after discount]])</f>
        <v>-1.7522911206752156E-2</v>
      </c>
    </row>
    <row r="796" spans="1:19" x14ac:dyDescent="0.3">
      <c r="A796">
        <v>1054</v>
      </c>
      <c r="B796" s="1">
        <v>45222</v>
      </c>
      <c r="C796" s="1">
        <f>DATE(YEAR(Table1[[#This Row],[Sale_Date]]), MONTH(Table1[[#This Row],[Sale_Date]]), 1)</f>
        <v>45200</v>
      </c>
      <c r="D796" t="s">
        <v>24</v>
      </c>
      <c r="E796" t="s">
        <v>34</v>
      </c>
      <c r="F796" s="2">
        <v>4252.54</v>
      </c>
      <c r="G796">
        <v>8</v>
      </c>
      <c r="H796" t="s">
        <v>26</v>
      </c>
      <c r="I796" s="2">
        <v>4117.13</v>
      </c>
      <c r="J796" s="2">
        <v>4177.0600000000004</v>
      </c>
      <c r="K796" t="s">
        <v>17</v>
      </c>
      <c r="L796" s="5">
        <v>0.25</v>
      </c>
      <c r="M796" t="s">
        <v>27</v>
      </c>
      <c r="N796" t="s">
        <v>22</v>
      </c>
      <c r="O796" t="s">
        <v>50</v>
      </c>
      <c r="P796" s="4">
        <f t="shared" si="24"/>
        <v>25062.36</v>
      </c>
      <c r="Q796" s="4">
        <f t="shared" si="25"/>
        <v>-7874.68</v>
      </c>
      <c r="R796" t="str">
        <f>IF( Table1[[#This Row],[Total Amount after sale]] &gt; 0,"PROFIT","LOSS")</f>
        <v>LOSS</v>
      </c>
      <c r="S796" s="3">
        <f>(Table1[[#This Row],[Total Amount after sale]]/Table1[[#This Row],[Price after discount]])</f>
        <v>-0.31420345091204499</v>
      </c>
    </row>
    <row r="797" spans="1:19" x14ac:dyDescent="0.3">
      <c r="A797">
        <v>1054</v>
      </c>
      <c r="B797" s="1">
        <v>45222</v>
      </c>
      <c r="C797" s="1">
        <f>DATE(YEAR(Table1[[#This Row],[Sale_Date]]), MONTH(Table1[[#This Row],[Sale_Date]]), 1)</f>
        <v>45200</v>
      </c>
      <c r="D797" t="s">
        <v>24</v>
      </c>
      <c r="E797" t="s">
        <v>25</v>
      </c>
      <c r="F797" s="2">
        <v>4392.47</v>
      </c>
      <c r="G797">
        <v>48</v>
      </c>
      <c r="H797" t="s">
        <v>35</v>
      </c>
      <c r="I797" s="2">
        <v>4325.0200000000004</v>
      </c>
      <c r="J797" s="2">
        <v>4391.67</v>
      </c>
      <c r="K797" t="s">
        <v>17</v>
      </c>
      <c r="L797" s="5">
        <v>0.16</v>
      </c>
      <c r="M797" t="s">
        <v>31</v>
      </c>
      <c r="N797" t="s">
        <v>22</v>
      </c>
      <c r="O797" t="s">
        <v>28</v>
      </c>
      <c r="P797" s="4">
        <f t="shared" si="24"/>
        <v>177072.13439999998</v>
      </c>
      <c r="Q797" s="4">
        <f t="shared" si="25"/>
        <v>-30528.825600000033</v>
      </c>
      <c r="R797" t="str">
        <f>IF( Table1[[#This Row],[Total Amount after sale]] &gt; 0,"PROFIT","LOSS")</f>
        <v>LOSS</v>
      </c>
      <c r="S797" s="3">
        <f>(Table1[[#This Row],[Total Amount after sale]]/Table1[[#This Row],[Price after discount]])</f>
        <v>-0.17240897729868915</v>
      </c>
    </row>
    <row r="798" spans="1:19" x14ac:dyDescent="0.3">
      <c r="A798">
        <v>1023</v>
      </c>
      <c r="B798" s="1">
        <v>45222</v>
      </c>
      <c r="C798" s="1">
        <f>DATE(YEAR(Table1[[#This Row],[Sale_Date]]), MONTH(Table1[[#This Row],[Sale_Date]]), 1)</f>
        <v>45200</v>
      </c>
      <c r="D798" t="s">
        <v>24</v>
      </c>
      <c r="E798" t="s">
        <v>25</v>
      </c>
      <c r="F798" s="2">
        <v>9519.76</v>
      </c>
      <c r="G798">
        <v>42</v>
      </c>
      <c r="H798" t="s">
        <v>26</v>
      </c>
      <c r="I798" s="2">
        <v>309.77999999999997</v>
      </c>
      <c r="J798" s="2">
        <v>350.38</v>
      </c>
      <c r="K798" t="s">
        <v>17</v>
      </c>
      <c r="L798" s="5">
        <v>0.19</v>
      </c>
      <c r="M798" t="s">
        <v>31</v>
      </c>
      <c r="N798" t="s">
        <v>22</v>
      </c>
      <c r="O798" t="s">
        <v>28</v>
      </c>
      <c r="P798" s="4">
        <f t="shared" si="24"/>
        <v>11919.927600000003</v>
      </c>
      <c r="Q798" s="4">
        <f t="shared" si="25"/>
        <v>-1090.8323999999971</v>
      </c>
      <c r="R798" t="str">
        <f>IF( Table1[[#This Row],[Total Amount after sale]] &gt; 0,"PROFIT","LOSS")</f>
        <v>LOSS</v>
      </c>
      <c r="S798" s="3">
        <f>(Table1[[#This Row],[Total Amount after sale]]/Table1[[#This Row],[Price after discount]])</f>
        <v>-9.1513341070963955E-2</v>
      </c>
    </row>
    <row r="799" spans="1:19" x14ac:dyDescent="0.3">
      <c r="A799">
        <v>1087</v>
      </c>
      <c r="B799" s="1">
        <v>45223</v>
      </c>
      <c r="C799" s="1">
        <f>DATE(YEAR(Table1[[#This Row],[Sale_Date]]), MONTH(Table1[[#This Row],[Sale_Date]]), 1)</f>
        <v>45200</v>
      </c>
      <c r="D799" t="s">
        <v>14</v>
      </c>
      <c r="E799" t="s">
        <v>34</v>
      </c>
      <c r="F799" s="2">
        <v>7825.62</v>
      </c>
      <c r="G799">
        <v>28</v>
      </c>
      <c r="H799" t="s">
        <v>29</v>
      </c>
      <c r="I799" s="2">
        <v>551.83000000000004</v>
      </c>
      <c r="J799" s="2">
        <v>569.63</v>
      </c>
      <c r="K799" t="s">
        <v>30</v>
      </c>
      <c r="L799" s="5">
        <v>0.13</v>
      </c>
      <c r="M799" t="s">
        <v>31</v>
      </c>
      <c r="N799" t="s">
        <v>22</v>
      </c>
      <c r="O799" t="s">
        <v>46</v>
      </c>
      <c r="P799" s="4">
        <f t="shared" si="24"/>
        <v>13876.186799999999</v>
      </c>
      <c r="Q799" s="4">
        <f t="shared" si="25"/>
        <v>-1575.053200000001</v>
      </c>
      <c r="R799" t="str">
        <f>IF( Table1[[#This Row],[Total Amount after sale]] &gt; 0,"PROFIT","LOSS")</f>
        <v>LOSS</v>
      </c>
      <c r="S799" s="3">
        <f>(Table1[[#This Row],[Total Amount after sale]]/Table1[[#This Row],[Price after discount]])</f>
        <v>-0.11350763885651936</v>
      </c>
    </row>
    <row r="800" spans="1:19" x14ac:dyDescent="0.3">
      <c r="A800">
        <v>1026</v>
      </c>
      <c r="B800" s="1">
        <v>45223</v>
      </c>
      <c r="C800" s="1">
        <f>DATE(YEAR(Table1[[#This Row],[Sale_Date]]), MONTH(Table1[[#This Row],[Sale_Date]]), 1)</f>
        <v>45200</v>
      </c>
      <c r="D800" t="s">
        <v>24</v>
      </c>
      <c r="E800" t="s">
        <v>34</v>
      </c>
      <c r="F800" s="2">
        <v>2044.55</v>
      </c>
      <c r="G800">
        <v>45</v>
      </c>
      <c r="H800" t="s">
        <v>26</v>
      </c>
      <c r="I800" s="2">
        <v>1741.66</v>
      </c>
      <c r="J800" s="2">
        <v>2169.86</v>
      </c>
      <c r="K800" t="s">
        <v>17</v>
      </c>
      <c r="L800" s="5">
        <v>0.14000000000000001</v>
      </c>
      <c r="M800" t="s">
        <v>31</v>
      </c>
      <c r="N800" t="s">
        <v>19</v>
      </c>
      <c r="O800" t="s">
        <v>50</v>
      </c>
      <c r="P800" s="4">
        <f t="shared" si="24"/>
        <v>83973.581999999995</v>
      </c>
      <c r="Q800" s="4">
        <f t="shared" si="25"/>
        <v>5598.8819999999978</v>
      </c>
      <c r="R800" t="str">
        <f>IF( Table1[[#This Row],[Total Amount after sale]] &gt; 0,"PROFIT","LOSS")</f>
        <v>PROFIT</v>
      </c>
      <c r="S800" s="3">
        <f>(Table1[[#This Row],[Total Amount after sale]]/Table1[[#This Row],[Price after discount]])</f>
        <v>6.6674326218452817E-2</v>
      </c>
    </row>
    <row r="801" spans="1:19" x14ac:dyDescent="0.3">
      <c r="A801">
        <v>1097</v>
      </c>
      <c r="B801" s="1">
        <v>45225</v>
      </c>
      <c r="C801" s="1">
        <f>DATE(YEAR(Table1[[#This Row],[Sale_Date]]), MONTH(Table1[[#This Row],[Sale_Date]]), 1)</f>
        <v>45200</v>
      </c>
      <c r="D801" t="s">
        <v>42</v>
      </c>
      <c r="E801" t="s">
        <v>34</v>
      </c>
      <c r="F801" s="2">
        <v>7633.98</v>
      </c>
      <c r="G801">
        <v>27</v>
      </c>
      <c r="H801" t="s">
        <v>35</v>
      </c>
      <c r="I801" s="2">
        <v>4686.79</v>
      </c>
      <c r="J801" s="2">
        <v>5046.51</v>
      </c>
      <c r="K801" t="s">
        <v>17</v>
      </c>
      <c r="L801" s="5">
        <v>0.05</v>
      </c>
      <c r="M801" t="s">
        <v>31</v>
      </c>
      <c r="N801" t="s">
        <v>22</v>
      </c>
      <c r="O801" t="s">
        <v>52</v>
      </c>
      <c r="P801" s="4">
        <f t="shared" si="24"/>
        <v>129442.98150000001</v>
      </c>
      <c r="Q801" s="4">
        <f t="shared" si="25"/>
        <v>2899.651500000009</v>
      </c>
      <c r="R801" t="str">
        <f>IF( Table1[[#This Row],[Total Amount after sale]] &gt; 0,"PROFIT","LOSS")</f>
        <v>PROFIT</v>
      </c>
      <c r="S801" s="3">
        <f>(Table1[[#This Row],[Total Amount after sale]]/Table1[[#This Row],[Price after discount]])</f>
        <v>2.2400994371409848E-2</v>
      </c>
    </row>
    <row r="802" spans="1:19" x14ac:dyDescent="0.3">
      <c r="A802">
        <v>1089</v>
      </c>
      <c r="B802" s="1">
        <v>45226</v>
      </c>
      <c r="C802" s="1">
        <f>DATE(YEAR(Table1[[#This Row],[Sale_Date]]), MONTH(Table1[[#This Row],[Sale_Date]]), 1)</f>
        <v>45200</v>
      </c>
      <c r="D802" t="s">
        <v>24</v>
      </c>
      <c r="E802" t="s">
        <v>15</v>
      </c>
      <c r="F802" s="2">
        <v>7751.92</v>
      </c>
      <c r="G802">
        <v>43</v>
      </c>
      <c r="H802" t="s">
        <v>16</v>
      </c>
      <c r="I802" s="2">
        <v>3851.45</v>
      </c>
      <c r="J802" s="2">
        <v>4186.9799999999996</v>
      </c>
      <c r="K802" t="s">
        <v>17</v>
      </c>
      <c r="L802" s="5">
        <v>0.3</v>
      </c>
      <c r="M802" t="s">
        <v>31</v>
      </c>
      <c r="N802" t="s">
        <v>19</v>
      </c>
      <c r="O802" t="s">
        <v>45</v>
      </c>
      <c r="P802" s="4">
        <f t="shared" si="24"/>
        <v>126028.09799999998</v>
      </c>
      <c r="Q802" s="4">
        <f t="shared" si="25"/>
        <v>-39584.252000000015</v>
      </c>
      <c r="R802" t="str">
        <f>IF( Table1[[#This Row],[Total Amount after sale]] &gt; 0,"PROFIT","LOSS")</f>
        <v>LOSS</v>
      </c>
      <c r="S802" s="3">
        <f>(Table1[[#This Row],[Total Amount after sale]]/Table1[[#This Row],[Price after discount]])</f>
        <v>-0.31409068793532074</v>
      </c>
    </row>
    <row r="803" spans="1:19" x14ac:dyDescent="0.3">
      <c r="A803">
        <v>1087</v>
      </c>
      <c r="B803" s="1">
        <v>45226</v>
      </c>
      <c r="C803" s="1">
        <f>DATE(YEAR(Table1[[#This Row],[Sale_Date]]), MONTH(Table1[[#This Row],[Sale_Date]]), 1)</f>
        <v>45200</v>
      </c>
      <c r="D803" t="s">
        <v>38</v>
      </c>
      <c r="E803" t="s">
        <v>15</v>
      </c>
      <c r="F803" s="2">
        <v>1515.71</v>
      </c>
      <c r="G803">
        <v>27</v>
      </c>
      <c r="H803" t="s">
        <v>26</v>
      </c>
      <c r="I803" s="2">
        <v>3139.36</v>
      </c>
      <c r="J803" s="2">
        <v>3423.66</v>
      </c>
      <c r="K803" t="s">
        <v>30</v>
      </c>
      <c r="L803" s="5">
        <v>0.18</v>
      </c>
      <c r="M803" t="s">
        <v>31</v>
      </c>
      <c r="N803" t="s">
        <v>19</v>
      </c>
      <c r="O803" t="s">
        <v>40</v>
      </c>
      <c r="P803" s="4">
        <f t="shared" si="24"/>
        <v>75799.832400000014</v>
      </c>
      <c r="Q803" s="4">
        <f t="shared" si="25"/>
        <v>-8962.8875999999964</v>
      </c>
      <c r="R803" t="str">
        <f>IF( Table1[[#This Row],[Total Amount after sale]] &gt; 0,"PROFIT","LOSS")</f>
        <v>LOSS</v>
      </c>
      <c r="S803" s="3">
        <f>(Table1[[#This Row],[Total Amount after sale]]/Table1[[#This Row],[Price after discount]])</f>
        <v>-0.11824416118365975</v>
      </c>
    </row>
    <row r="804" spans="1:19" x14ac:dyDescent="0.3">
      <c r="A804">
        <v>1033</v>
      </c>
      <c r="B804" s="1">
        <v>45227</v>
      </c>
      <c r="C804" s="1">
        <f>DATE(YEAR(Table1[[#This Row],[Sale_Date]]), MONTH(Table1[[#This Row],[Sale_Date]]), 1)</f>
        <v>45200</v>
      </c>
      <c r="D804" t="s">
        <v>24</v>
      </c>
      <c r="E804" t="s">
        <v>15</v>
      </c>
      <c r="F804" s="2">
        <v>1115.42</v>
      </c>
      <c r="G804">
        <v>43</v>
      </c>
      <c r="H804" t="s">
        <v>29</v>
      </c>
      <c r="I804" s="2">
        <v>4781.42</v>
      </c>
      <c r="J804" s="2">
        <v>4864.34</v>
      </c>
      <c r="K804" t="s">
        <v>17</v>
      </c>
      <c r="L804" s="5">
        <v>0.25</v>
      </c>
      <c r="M804" t="s">
        <v>27</v>
      </c>
      <c r="N804" t="s">
        <v>19</v>
      </c>
      <c r="O804" t="s">
        <v>45</v>
      </c>
      <c r="P804" s="4">
        <f t="shared" si="24"/>
        <v>156874.965</v>
      </c>
      <c r="Q804" s="4">
        <f t="shared" si="25"/>
        <v>-48726.095000000001</v>
      </c>
      <c r="R804" t="str">
        <f>IF( Table1[[#This Row],[Total Amount after sale]] &gt; 0,"PROFIT","LOSS")</f>
        <v>LOSS</v>
      </c>
      <c r="S804" s="3">
        <f>(Table1[[#This Row],[Total Amount after sale]]/Table1[[#This Row],[Price after discount]])</f>
        <v>-0.31060465893968486</v>
      </c>
    </row>
    <row r="805" spans="1:19" x14ac:dyDescent="0.3">
      <c r="A805">
        <v>1091</v>
      </c>
      <c r="B805" s="1">
        <v>45227</v>
      </c>
      <c r="C805" s="1">
        <f>DATE(YEAR(Table1[[#This Row],[Sale_Date]]), MONTH(Table1[[#This Row],[Sale_Date]]), 1)</f>
        <v>45200</v>
      </c>
      <c r="D805" t="s">
        <v>14</v>
      </c>
      <c r="E805" t="s">
        <v>21</v>
      </c>
      <c r="F805" s="2">
        <v>7611.28</v>
      </c>
      <c r="G805">
        <v>39</v>
      </c>
      <c r="H805" t="s">
        <v>16</v>
      </c>
      <c r="I805" s="2">
        <v>2184.4899999999998</v>
      </c>
      <c r="J805" s="2">
        <v>2540.4199999999901</v>
      </c>
      <c r="K805" t="s">
        <v>17</v>
      </c>
      <c r="L805" s="5">
        <v>0.27</v>
      </c>
      <c r="M805" t="s">
        <v>27</v>
      </c>
      <c r="N805" t="s">
        <v>19</v>
      </c>
      <c r="O805" t="s">
        <v>23</v>
      </c>
      <c r="P805" s="4">
        <f t="shared" si="24"/>
        <v>72325.757399999711</v>
      </c>
      <c r="Q805" s="4">
        <f t="shared" si="25"/>
        <v>-12869.352600000278</v>
      </c>
      <c r="R805" t="str">
        <f>IF( Table1[[#This Row],[Total Amount after sale]] &gt; 0,"PROFIT","LOSS")</f>
        <v>LOSS</v>
      </c>
      <c r="S805" s="3">
        <f>(Table1[[#This Row],[Total Amount after sale]]/Table1[[#This Row],[Price after discount]])</f>
        <v>-0.17793595342287186</v>
      </c>
    </row>
    <row r="806" spans="1:19" x14ac:dyDescent="0.3">
      <c r="A806">
        <v>1079</v>
      </c>
      <c r="B806" s="1">
        <v>45227</v>
      </c>
      <c r="C806" s="1">
        <f>DATE(YEAR(Table1[[#This Row],[Sale_Date]]), MONTH(Table1[[#This Row],[Sale_Date]]), 1)</f>
        <v>45200</v>
      </c>
      <c r="D806" t="s">
        <v>14</v>
      </c>
      <c r="E806" t="s">
        <v>21</v>
      </c>
      <c r="F806" s="2">
        <v>1558.03</v>
      </c>
      <c r="G806">
        <v>38</v>
      </c>
      <c r="H806" t="s">
        <v>16</v>
      </c>
      <c r="I806" s="2">
        <v>1127.76</v>
      </c>
      <c r="J806" s="2">
        <v>1265.6600000000001</v>
      </c>
      <c r="K806" t="s">
        <v>17</v>
      </c>
      <c r="L806" s="5">
        <v>0.26</v>
      </c>
      <c r="M806" t="s">
        <v>27</v>
      </c>
      <c r="N806" t="s">
        <v>22</v>
      </c>
      <c r="O806" t="s">
        <v>23</v>
      </c>
      <c r="P806" s="4">
        <f t="shared" si="24"/>
        <v>35590.359200000006</v>
      </c>
      <c r="Q806" s="4">
        <f t="shared" si="25"/>
        <v>-7264.5207999999966</v>
      </c>
      <c r="R806" t="str">
        <f>IF( Table1[[#This Row],[Total Amount after sale]] &gt; 0,"PROFIT","LOSS")</f>
        <v>LOSS</v>
      </c>
      <c r="S806" s="3">
        <f>(Table1[[#This Row],[Total Amount after sale]]/Table1[[#This Row],[Price after discount]])</f>
        <v>-0.20411484916960307</v>
      </c>
    </row>
    <row r="807" spans="1:19" x14ac:dyDescent="0.3">
      <c r="A807">
        <v>1081</v>
      </c>
      <c r="B807" s="1">
        <v>45227</v>
      </c>
      <c r="C807" s="1">
        <f>DATE(YEAR(Table1[[#This Row],[Sale_Date]]), MONTH(Table1[[#This Row],[Sale_Date]]), 1)</f>
        <v>45200</v>
      </c>
      <c r="D807" t="s">
        <v>33</v>
      </c>
      <c r="E807" t="s">
        <v>15</v>
      </c>
      <c r="F807" s="2">
        <v>5571.36</v>
      </c>
      <c r="G807">
        <v>23</v>
      </c>
      <c r="H807" t="s">
        <v>26</v>
      </c>
      <c r="I807" s="2">
        <v>1411.37</v>
      </c>
      <c r="J807" s="2">
        <v>1675.35</v>
      </c>
      <c r="K807" t="s">
        <v>30</v>
      </c>
      <c r="L807" s="5">
        <v>0.21</v>
      </c>
      <c r="M807" t="s">
        <v>18</v>
      </c>
      <c r="N807" t="s">
        <v>22</v>
      </c>
      <c r="O807" t="s">
        <v>53</v>
      </c>
      <c r="P807" s="4">
        <f t="shared" si="24"/>
        <v>30441.109499999999</v>
      </c>
      <c r="Q807" s="4">
        <f t="shared" si="25"/>
        <v>-2020.4004999999988</v>
      </c>
      <c r="R807" t="str">
        <f>IF( Table1[[#This Row],[Total Amount after sale]] &gt; 0,"PROFIT","LOSS")</f>
        <v>LOSS</v>
      </c>
      <c r="S807" s="3">
        <f>(Table1[[#This Row],[Total Amount after sale]]/Table1[[#This Row],[Price after discount]])</f>
        <v>-6.6370790460183418E-2</v>
      </c>
    </row>
    <row r="808" spans="1:19" x14ac:dyDescent="0.3">
      <c r="A808">
        <v>1044</v>
      </c>
      <c r="B808" s="1">
        <v>45228</v>
      </c>
      <c r="C808" s="1">
        <f>DATE(YEAR(Table1[[#This Row],[Sale_Date]]), MONTH(Table1[[#This Row],[Sale_Date]]), 1)</f>
        <v>45200</v>
      </c>
      <c r="D808" t="s">
        <v>33</v>
      </c>
      <c r="E808" t="s">
        <v>15</v>
      </c>
      <c r="F808" s="2">
        <v>1996.77</v>
      </c>
      <c r="G808">
        <v>11</v>
      </c>
      <c r="H808" t="s">
        <v>29</v>
      </c>
      <c r="I808" s="2">
        <v>1812.66</v>
      </c>
      <c r="J808" s="2">
        <v>2196.3000000000002</v>
      </c>
      <c r="K808" t="s">
        <v>30</v>
      </c>
      <c r="L808" s="5">
        <v>0.08</v>
      </c>
      <c r="M808" t="s">
        <v>18</v>
      </c>
      <c r="N808" t="s">
        <v>19</v>
      </c>
      <c r="O808" t="s">
        <v>53</v>
      </c>
      <c r="P808" s="4">
        <f t="shared" si="24"/>
        <v>22226.556000000004</v>
      </c>
      <c r="Q808" s="4">
        <f t="shared" si="25"/>
        <v>2287.2960000000016</v>
      </c>
      <c r="R808" t="str">
        <f>IF( Table1[[#This Row],[Total Amount after sale]] &gt; 0,"PROFIT","LOSS")</f>
        <v>PROFIT</v>
      </c>
      <c r="S808" s="3">
        <f>(Table1[[#This Row],[Total Amount after sale]]/Table1[[#This Row],[Price after discount]])</f>
        <v>0.10290825083292261</v>
      </c>
    </row>
    <row r="809" spans="1:19" x14ac:dyDescent="0.3">
      <c r="A809">
        <v>1019</v>
      </c>
      <c r="B809" s="1">
        <v>45228</v>
      </c>
      <c r="C809" s="1">
        <f>DATE(YEAR(Table1[[#This Row],[Sale_Date]]), MONTH(Table1[[#This Row],[Sale_Date]]), 1)</f>
        <v>45200</v>
      </c>
      <c r="D809" t="s">
        <v>24</v>
      </c>
      <c r="E809" t="s">
        <v>21</v>
      </c>
      <c r="F809" s="2">
        <v>5952.19</v>
      </c>
      <c r="G809">
        <v>31</v>
      </c>
      <c r="H809" t="s">
        <v>26</v>
      </c>
      <c r="I809" s="2">
        <v>333.69</v>
      </c>
      <c r="J809" s="2">
        <v>685.1</v>
      </c>
      <c r="K809" t="s">
        <v>30</v>
      </c>
      <c r="L809" s="5">
        <v>0.04</v>
      </c>
      <c r="M809" t="s">
        <v>27</v>
      </c>
      <c r="N809" t="s">
        <v>19</v>
      </c>
      <c r="O809" t="s">
        <v>47</v>
      </c>
      <c r="P809" s="4">
        <f t="shared" si="24"/>
        <v>20388.576000000001</v>
      </c>
      <c r="Q809" s="4">
        <f t="shared" si="25"/>
        <v>10044.186000000002</v>
      </c>
      <c r="R809" t="str">
        <f>IF( Table1[[#This Row],[Total Amount after sale]] &gt; 0,"PROFIT","LOSS")</f>
        <v>PROFIT</v>
      </c>
      <c r="S809" s="3">
        <f>(Table1[[#This Row],[Total Amount after sale]]/Table1[[#This Row],[Price after discount]])</f>
        <v>0.49263793606772738</v>
      </c>
    </row>
    <row r="810" spans="1:19" x14ac:dyDescent="0.3">
      <c r="A810">
        <v>1054</v>
      </c>
      <c r="B810" s="1">
        <v>45228</v>
      </c>
      <c r="C810" s="1">
        <f>DATE(YEAR(Table1[[#This Row],[Sale_Date]]), MONTH(Table1[[#This Row],[Sale_Date]]), 1)</f>
        <v>45200</v>
      </c>
      <c r="D810" t="s">
        <v>24</v>
      </c>
      <c r="E810" t="s">
        <v>21</v>
      </c>
      <c r="F810" s="2">
        <v>4025.88</v>
      </c>
      <c r="G810">
        <v>8</v>
      </c>
      <c r="H810" t="s">
        <v>29</v>
      </c>
      <c r="I810" s="2">
        <v>3610.21</v>
      </c>
      <c r="J810" s="2">
        <v>3817.99</v>
      </c>
      <c r="K810" t="s">
        <v>17</v>
      </c>
      <c r="L810" s="5">
        <v>0.15</v>
      </c>
      <c r="M810" t="s">
        <v>18</v>
      </c>
      <c r="N810" t="s">
        <v>22</v>
      </c>
      <c r="O810" t="s">
        <v>47</v>
      </c>
      <c r="P810" s="4">
        <f t="shared" si="24"/>
        <v>25962.331999999999</v>
      </c>
      <c r="Q810" s="4">
        <f t="shared" si="25"/>
        <v>-2919.3480000000018</v>
      </c>
      <c r="R810" t="str">
        <f>IF( Table1[[#This Row],[Total Amount after sale]] &gt; 0,"PROFIT","LOSS")</f>
        <v>LOSS</v>
      </c>
      <c r="S810" s="3">
        <f>(Table1[[#This Row],[Total Amount after sale]]/Table1[[#This Row],[Price after discount]])</f>
        <v>-0.11244552299847341</v>
      </c>
    </row>
    <row r="811" spans="1:19" x14ac:dyDescent="0.3">
      <c r="A811">
        <v>1034</v>
      </c>
      <c r="B811" s="1">
        <v>45228</v>
      </c>
      <c r="C811" s="1">
        <f>DATE(YEAR(Table1[[#This Row],[Sale_Date]]), MONTH(Table1[[#This Row],[Sale_Date]]), 1)</f>
        <v>45200</v>
      </c>
      <c r="D811" t="s">
        <v>24</v>
      </c>
      <c r="E811" t="s">
        <v>15</v>
      </c>
      <c r="F811" s="2">
        <v>8919.4699999999993</v>
      </c>
      <c r="G811">
        <v>34</v>
      </c>
      <c r="H811" t="s">
        <v>26</v>
      </c>
      <c r="I811" s="2">
        <v>978.15</v>
      </c>
      <c r="J811" s="2">
        <v>1040.21</v>
      </c>
      <c r="K811" t="s">
        <v>30</v>
      </c>
      <c r="L811" s="5">
        <v>0.12</v>
      </c>
      <c r="M811" t="s">
        <v>31</v>
      </c>
      <c r="N811" t="s">
        <v>22</v>
      </c>
      <c r="O811" t="s">
        <v>45</v>
      </c>
      <c r="P811" s="4">
        <f t="shared" si="24"/>
        <v>31123.083200000001</v>
      </c>
      <c r="Q811" s="4">
        <f t="shared" si="25"/>
        <v>-2134.0167999999976</v>
      </c>
      <c r="R811" t="str">
        <f>IF( Table1[[#This Row],[Total Amount after sale]] &gt; 0,"PROFIT","LOSS")</f>
        <v>LOSS</v>
      </c>
      <c r="S811" s="3">
        <f>(Table1[[#This Row],[Total Amount after sale]]/Table1[[#This Row],[Price after discount]])</f>
        <v>-6.8567011381442999E-2</v>
      </c>
    </row>
    <row r="812" spans="1:19" x14ac:dyDescent="0.3">
      <c r="A812">
        <v>1017</v>
      </c>
      <c r="B812" s="1">
        <v>45228</v>
      </c>
      <c r="C812" s="1">
        <f>DATE(YEAR(Table1[[#This Row],[Sale_Date]]), MONTH(Table1[[#This Row],[Sale_Date]]), 1)</f>
        <v>45200</v>
      </c>
      <c r="D812" t="s">
        <v>38</v>
      </c>
      <c r="E812" t="s">
        <v>34</v>
      </c>
      <c r="F812" s="2">
        <v>2141.9</v>
      </c>
      <c r="G812">
        <v>1</v>
      </c>
      <c r="H812" t="s">
        <v>16</v>
      </c>
      <c r="I812" s="2">
        <v>641.67999999999995</v>
      </c>
      <c r="J812" s="2">
        <v>752.24</v>
      </c>
      <c r="K812" t="s">
        <v>30</v>
      </c>
      <c r="L812" s="5">
        <v>0.22</v>
      </c>
      <c r="M812" t="s">
        <v>27</v>
      </c>
      <c r="N812" t="s">
        <v>19</v>
      </c>
      <c r="O812" t="s">
        <v>48</v>
      </c>
      <c r="P812" s="4">
        <f t="shared" si="24"/>
        <v>586.74720000000002</v>
      </c>
      <c r="Q812" s="4">
        <f t="shared" si="25"/>
        <v>-54.932799999999929</v>
      </c>
      <c r="R812" t="str">
        <f>IF( Table1[[#This Row],[Total Amount after sale]] &gt; 0,"PROFIT","LOSS")</f>
        <v>LOSS</v>
      </c>
      <c r="S812" s="3">
        <f>(Table1[[#This Row],[Total Amount after sale]]/Table1[[#This Row],[Price after discount]])</f>
        <v>-9.3622602715445299E-2</v>
      </c>
    </row>
    <row r="813" spans="1:19" x14ac:dyDescent="0.3">
      <c r="A813">
        <v>1071</v>
      </c>
      <c r="B813" s="1">
        <v>45229</v>
      </c>
      <c r="C813" s="1">
        <f>DATE(YEAR(Table1[[#This Row],[Sale_Date]]), MONTH(Table1[[#This Row],[Sale_Date]]), 1)</f>
        <v>45200</v>
      </c>
      <c r="D813" t="s">
        <v>42</v>
      </c>
      <c r="E813" t="s">
        <v>21</v>
      </c>
      <c r="F813" s="2">
        <v>189.48</v>
      </c>
      <c r="G813">
        <v>22</v>
      </c>
      <c r="H813" t="s">
        <v>35</v>
      </c>
      <c r="I813" s="2">
        <v>2701.39</v>
      </c>
      <c r="J813" s="2">
        <v>3185.81</v>
      </c>
      <c r="K813" t="s">
        <v>30</v>
      </c>
      <c r="L813" s="5">
        <v>0.01</v>
      </c>
      <c r="M813" t="s">
        <v>27</v>
      </c>
      <c r="N813" t="s">
        <v>19</v>
      </c>
      <c r="O813" t="s">
        <v>51</v>
      </c>
      <c r="P813" s="4">
        <f t="shared" si="24"/>
        <v>69386.941800000001</v>
      </c>
      <c r="Q813" s="4">
        <f t="shared" si="25"/>
        <v>9956.3618000000024</v>
      </c>
      <c r="R813" t="str">
        <f>IF( Table1[[#This Row],[Total Amount after sale]] &gt; 0,"PROFIT","LOSS")</f>
        <v>PROFIT</v>
      </c>
      <c r="S813" s="3">
        <f>(Table1[[#This Row],[Total Amount after sale]]/Table1[[#This Row],[Price after discount]])</f>
        <v>0.14349042545639332</v>
      </c>
    </row>
    <row r="814" spans="1:19" x14ac:dyDescent="0.3">
      <c r="A814">
        <v>1097</v>
      </c>
      <c r="B814" s="1">
        <v>45229</v>
      </c>
      <c r="C814" s="1">
        <f>DATE(YEAR(Table1[[#This Row],[Sale_Date]]), MONTH(Table1[[#This Row],[Sale_Date]]), 1)</f>
        <v>45200</v>
      </c>
      <c r="D814" t="s">
        <v>38</v>
      </c>
      <c r="E814" t="s">
        <v>21</v>
      </c>
      <c r="F814" s="2">
        <v>6600.65</v>
      </c>
      <c r="G814">
        <v>49</v>
      </c>
      <c r="H814" t="s">
        <v>35</v>
      </c>
      <c r="I814" s="2">
        <v>4264.46</v>
      </c>
      <c r="J814" s="2">
        <v>4315.5200000000004</v>
      </c>
      <c r="K814" t="s">
        <v>30</v>
      </c>
      <c r="L814" s="5">
        <v>7.0000000000000007E-2</v>
      </c>
      <c r="M814" t="s">
        <v>18</v>
      </c>
      <c r="N814" t="s">
        <v>22</v>
      </c>
      <c r="O814" t="s">
        <v>41</v>
      </c>
      <c r="P814" s="4">
        <f t="shared" si="24"/>
        <v>196658.2464</v>
      </c>
      <c r="Q814" s="4">
        <f t="shared" si="25"/>
        <v>-12300.293599999986</v>
      </c>
      <c r="R814" t="str">
        <f>IF( Table1[[#This Row],[Total Amount after sale]] &gt; 0,"PROFIT","LOSS")</f>
        <v>LOSS</v>
      </c>
      <c r="S814" s="3">
        <f>(Table1[[#This Row],[Total Amount after sale]]/Table1[[#This Row],[Price after discount]])</f>
        <v>-6.2546543687679229E-2</v>
      </c>
    </row>
    <row r="815" spans="1:19" x14ac:dyDescent="0.3">
      <c r="A815">
        <v>1049</v>
      </c>
      <c r="B815" s="1">
        <v>45229</v>
      </c>
      <c r="C815" s="1">
        <f>DATE(YEAR(Table1[[#This Row],[Sale_Date]]), MONTH(Table1[[#This Row],[Sale_Date]]), 1)</f>
        <v>45200</v>
      </c>
      <c r="D815" t="s">
        <v>42</v>
      </c>
      <c r="E815" t="s">
        <v>34</v>
      </c>
      <c r="F815" s="2">
        <v>2947.56</v>
      </c>
      <c r="G815">
        <v>38</v>
      </c>
      <c r="H815" t="s">
        <v>26</v>
      </c>
      <c r="I815" s="2">
        <v>4243.9799999999996</v>
      </c>
      <c r="J815" s="2">
        <v>4474.5099999999902</v>
      </c>
      <c r="K815" t="s">
        <v>30</v>
      </c>
      <c r="L815" s="5">
        <v>0.01</v>
      </c>
      <c r="M815" t="s">
        <v>31</v>
      </c>
      <c r="N815" t="s">
        <v>19</v>
      </c>
      <c r="O815" t="s">
        <v>52</v>
      </c>
      <c r="P815" s="4">
        <f t="shared" si="24"/>
        <v>168331.06619999962</v>
      </c>
      <c r="Q815" s="4">
        <f t="shared" si="25"/>
        <v>7059.8261999996412</v>
      </c>
      <c r="R815" t="str">
        <f>IF( Table1[[#This Row],[Total Amount after sale]] &gt; 0,"PROFIT","LOSS")</f>
        <v>PROFIT</v>
      </c>
      <c r="S815" s="3">
        <f>(Table1[[#This Row],[Total Amount after sale]]/Table1[[#This Row],[Price after discount]])</f>
        <v>4.1940126438762243E-2</v>
      </c>
    </row>
    <row r="816" spans="1:19" x14ac:dyDescent="0.3">
      <c r="A816">
        <v>1029</v>
      </c>
      <c r="B816" s="1">
        <v>45229</v>
      </c>
      <c r="C816" s="1">
        <f>DATE(YEAR(Table1[[#This Row],[Sale_Date]]), MONTH(Table1[[#This Row],[Sale_Date]]), 1)</f>
        <v>45200</v>
      </c>
      <c r="D816" t="s">
        <v>38</v>
      </c>
      <c r="E816" t="s">
        <v>34</v>
      </c>
      <c r="F816" s="2">
        <v>4333.25</v>
      </c>
      <c r="G816">
        <v>16</v>
      </c>
      <c r="H816" t="s">
        <v>35</v>
      </c>
      <c r="I816" s="2">
        <v>2572.8000000000002</v>
      </c>
      <c r="J816" s="2">
        <v>2760.6</v>
      </c>
      <c r="K816" t="s">
        <v>17</v>
      </c>
      <c r="L816" s="5">
        <v>0.15</v>
      </c>
      <c r="M816" t="s">
        <v>31</v>
      </c>
      <c r="N816" t="s">
        <v>22</v>
      </c>
      <c r="O816" t="s">
        <v>48</v>
      </c>
      <c r="P816" s="4">
        <f t="shared" si="24"/>
        <v>37544.159999999996</v>
      </c>
      <c r="Q816" s="4">
        <f t="shared" si="25"/>
        <v>-3620.6400000000067</v>
      </c>
      <c r="R816" t="str">
        <f>IF( Table1[[#This Row],[Total Amount after sale]] &gt; 0,"PROFIT","LOSS")</f>
        <v>LOSS</v>
      </c>
      <c r="S816" s="3">
        <f>(Table1[[#This Row],[Total Amount after sale]]/Table1[[#This Row],[Price after discount]])</f>
        <v>-9.6436835981947841E-2</v>
      </c>
    </row>
    <row r="817" spans="1:19" x14ac:dyDescent="0.3">
      <c r="A817">
        <v>1053</v>
      </c>
      <c r="B817" s="1">
        <v>45229</v>
      </c>
      <c r="C817" s="1">
        <f>DATE(YEAR(Table1[[#This Row],[Sale_Date]]), MONTH(Table1[[#This Row],[Sale_Date]]), 1)</f>
        <v>45200</v>
      </c>
      <c r="D817" t="s">
        <v>24</v>
      </c>
      <c r="E817" t="s">
        <v>15</v>
      </c>
      <c r="F817" s="2">
        <v>6033.09</v>
      </c>
      <c r="G817">
        <v>1</v>
      </c>
      <c r="H817" t="s">
        <v>26</v>
      </c>
      <c r="I817" s="2">
        <v>2258.44</v>
      </c>
      <c r="J817" s="2">
        <v>2475.56</v>
      </c>
      <c r="K817" t="s">
        <v>30</v>
      </c>
      <c r="L817" s="5">
        <v>0.25</v>
      </c>
      <c r="M817" t="s">
        <v>18</v>
      </c>
      <c r="N817" t="s">
        <v>19</v>
      </c>
      <c r="O817" t="s">
        <v>45</v>
      </c>
      <c r="P817" s="4">
        <f t="shared" si="24"/>
        <v>1856.67</v>
      </c>
      <c r="Q817" s="4">
        <f t="shared" si="25"/>
        <v>-401.77</v>
      </c>
      <c r="R817" t="str">
        <f>IF( Table1[[#This Row],[Total Amount after sale]] &gt; 0,"PROFIT","LOSS")</f>
        <v>LOSS</v>
      </c>
      <c r="S817" s="3">
        <f>(Table1[[#This Row],[Total Amount after sale]]/Table1[[#This Row],[Price after discount]])</f>
        <v>-0.21639278924095287</v>
      </c>
    </row>
    <row r="818" spans="1:19" x14ac:dyDescent="0.3">
      <c r="A818">
        <v>1033</v>
      </c>
      <c r="B818" s="1">
        <v>45230</v>
      </c>
      <c r="C818" s="1">
        <f>DATE(YEAR(Table1[[#This Row],[Sale_Date]]), MONTH(Table1[[#This Row],[Sale_Date]]), 1)</f>
        <v>45200</v>
      </c>
      <c r="D818" t="s">
        <v>38</v>
      </c>
      <c r="E818" t="s">
        <v>34</v>
      </c>
      <c r="F818" s="2">
        <v>7982.79</v>
      </c>
      <c r="G818">
        <v>18</v>
      </c>
      <c r="H818" t="s">
        <v>16</v>
      </c>
      <c r="I818" s="2">
        <v>3124.48</v>
      </c>
      <c r="J818" s="2">
        <v>3553.27</v>
      </c>
      <c r="K818" t="s">
        <v>17</v>
      </c>
      <c r="L818" s="5">
        <v>0.12</v>
      </c>
      <c r="M818" t="s">
        <v>18</v>
      </c>
      <c r="N818" t="s">
        <v>22</v>
      </c>
      <c r="O818" t="s">
        <v>48</v>
      </c>
      <c r="P818" s="4">
        <f t="shared" si="24"/>
        <v>56283.796799999996</v>
      </c>
      <c r="Q818" s="4">
        <f t="shared" si="25"/>
        <v>43.15679999999611</v>
      </c>
      <c r="R818" t="str">
        <f>IF( Table1[[#This Row],[Total Amount after sale]] &gt; 0,"PROFIT","LOSS")</f>
        <v>PROFIT</v>
      </c>
      <c r="S818" s="3">
        <f>(Table1[[#This Row],[Total Amount after sale]]/Table1[[#This Row],[Price after discount]])</f>
        <v>7.6677129926664995E-4</v>
      </c>
    </row>
    <row r="819" spans="1:19" x14ac:dyDescent="0.3">
      <c r="A819">
        <v>1062</v>
      </c>
      <c r="B819" s="1">
        <v>45231</v>
      </c>
      <c r="C819" s="1">
        <f>DATE(YEAR(Table1[[#This Row],[Sale_Date]]), MONTH(Table1[[#This Row],[Sale_Date]]), 1)</f>
        <v>45231</v>
      </c>
      <c r="D819" t="s">
        <v>14</v>
      </c>
      <c r="E819" t="s">
        <v>34</v>
      </c>
      <c r="F819" s="2">
        <v>3720.24</v>
      </c>
      <c r="G819">
        <v>36</v>
      </c>
      <c r="H819" t="s">
        <v>26</v>
      </c>
      <c r="I819" s="2">
        <v>1050.6400000000001</v>
      </c>
      <c r="J819" s="2">
        <v>1167.33</v>
      </c>
      <c r="K819" t="s">
        <v>30</v>
      </c>
      <c r="L819" s="5">
        <v>0.22</v>
      </c>
      <c r="M819" t="s">
        <v>18</v>
      </c>
      <c r="N819" t="s">
        <v>19</v>
      </c>
      <c r="O819" t="s">
        <v>46</v>
      </c>
      <c r="P819" s="4">
        <f t="shared" si="24"/>
        <v>32778.626400000001</v>
      </c>
      <c r="Q819" s="4">
        <f t="shared" si="25"/>
        <v>-5044.4136000000053</v>
      </c>
      <c r="R819" t="str">
        <f>IF( Table1[[#This Row],[Total Amount after sale]] &gt; 0,"PROFIT","LOSS")</f>
        <v>LOSS</v>
      </c>
      <c r="S819" s="3">
        <f>(Table1[[#This Row],[Total Amount after sale]]/Table1[[#This Row],[Price after discount]])</f>
        <v>-0.15389337974211162</v>
      </c>
    </row>
    <row r="820" spans="1:19" x14ac:dyDescent="0.3">
      <c r="A820">
        <v>1009</v>
      </c>
      <c r="B820" s="1">
        <v>45231</v>
      </c>
      <c r="C820" s="1">
        <f>DATE(YEAR(Table1[[#This Row],[Sale_Date]]), MONTH(Table1[[#This Row],[Sale_Date]]), 1)</f>
        <v>45231</v>
      </c>
      <c r="D820" t="s">
        <v>14</v>
      </c>
      <c r="E820" t="s">
        <v>25</v>
      </c>
      <c r="F820" s="2">
        <v>7172.8</v>
      </c>
      <c r="G820">
        <v>14</v>
      </c>
      <c r="H820" t="s">
        <v>26</v>
      </c>
      <c r="I820" s="2">
        <v>547.79</v>
      </c>
      <c r="J820" s="2">
        <v>958.76</v>
      </c>
      <c r="K820" t="s">
        <v>17</v>
      </c>
      <c r="L820" s="5">
        <v>7.0000000000000007E-2</v>
      </c>
      <c r="M820" t="s">
        <v>31</v>
      </c>
      <c r="N820" t="s">
        <v>22</v>
      </c>
      <c r="O820" t="s">
        <v>32</v>
      </c>
      <c r="P820" s="4">
        <f t="shared" si="24"/>
        <v>12483.055199999999</v>
      </c>
      <c r="Q820" s="4">
        <f t="shared" si="25"/>
        <v>4813.9952000000003</v>
      </c>
      <c r="R820" t="str">
        <f>IF( Table1[[#This Row],[Total Amount after sale]] &gt; 0,"PROFIT","LOSS")</f>
        <v>PROFIT</v>
      </c>
      <c r="S820" s="3">
        <f>(Table1[[#This Row],[Total Amount after sale]]/Table1[[#This Row],[Price after discount]])</f>
        <v>0.38564238664906336</v>
      </c>
    </row>
    <row r="821" spans="1:19" x14ac:dyDescent="0.3">
      <c r="A821">
        <v>1026</v>
      </c>
      <c r="B821" s="1">
        <v>45231</v>
      </c>
      <c r="C821" s="1">
        <f>DATE(YEAR(Table1[[#This Row],[Sale_Date]]), MONTH(Table1[[#This Row],[Sale_Date]]), 1)</f>
        <v>45231</v>
      </c>
      <c r="D821" t="s">
        <v>42</v>
      </c>
      <c r="E821" t="s">
        <v>25</v>
      </c>
      <c r="F821" s="2">
        <v>7895.13</v>
      </c>
      <c r="G821">
        <v>36</v>
      </c>
      <c r="H821" t="s">
        <v>29</v>
      </c>
      <c r="I821" s="2">
        <v>3067.05</v>
      </c>
      <c r="J821" s="2">
        <v>3386.33</v>
      </c>
      <c r="K821" t="s">
        <v>30</v>
      </c>
      <c r="L821" s="5">
        <v>0.2</v>
      </c>
      <c r="M821" t="s">
        <v>27</v>
      </c>
      <c r="N821" t="s">
        <v>19</v>
      </c>
      <c r="O821" t="s">
        <v>43</v>
      </c>
      <c r="P821" s="4">
        <f t="shared" si="24"/>
        <v>97526.304000000004</v>
      </c>
      <c r="Q821" s="4">
        <f t="shared" si="25"/>
        <v>-12887.495999999996</v>
      </c>
      <c r="R821" t="str">
        <f>IF( Table1[[#This Row],[Total Amount after sale]] &gt; 0,"PROFIT","LOSS")</f>
        <v>LOSS</v>
      </c>
      <c r="S821" s="3">
        <f>(Table1[[#This Row],[Total Amount after sale]]/Table1[[#This Row],[Price after discount]])</f>
        <v>-0.13214379579072325</v>
      </c>
    </row>
    <row r="822" spans="1:19" x14ac:dyDescent="0.3">
      <c r="A822">
        <v>1096</v>
      </c>
      <c r="B822" s="1">
        <v>45231</v>
      </c>
      <c r="C822" s="1">
        <f>DATE(YEAR(Table1[[#This Row],[Sale_Date]]), MONTH(Table1[[#This Row],[Sale_Date]]), 1)</f>
        <v>45231</v>
      </c>
      <c r="D822" t="s">
        <v>14</v>
      </c>
      <c r="E822" t="s">
        <v>25</v>
      </c>
      <c r="F822" s="2">
        <v>8718.2199999999993</v>
      </c>
      <c r="G822">
        <v>17</v>
      </c>
      <c r="H822" t="s">
        <v>26</v>
      </c>
      <c r="I822" s="2">
        <v>2774.24</v>
      </c>
      <c r="J822" s="2">
        <v>3069.9399999999901</v>
      </c>
      <c r="K822" t="s">
        <v>17</v>
      </c>
      <c r="L822" s="5">
        <v>0.23</v>
      </c>
      <c r="M822" t="s">
        <v>27</v>
      </c>
      <c r="N822" t="s">
        <v>22</v>
      </c>
      <c r="O822" t="s">
        <v>32</v>
      </c>
      <c r="P822" s="4">
        <f t="shared" si="24"/>
        <v>40185.514599999871</v>
      </c>
      <c r="Q822" s="4">
        <f t="shared" si="25"/>
        <v>-6976.5654000001223</v>
      </c>
      <c r="R822" t="str">
        <f>IF( Table1[[#This Row],[Total Amount after sale]] &gt; 0,"PROFIT","LOSS")</f>
        <v>LOSS</v>
      </c>
      <c r="S822" s="3">
        <f>(Table1[[#This Row],[Total Amount after sale]]/Table1[[#This Row],[Price after discount]])</f>
        <v>-0.1736089600803605</v>
      </c>
    </row>
    <row r="823" spans="1:19" x14ac:dyDescent="0.3">
      <c r="A823">
        <v>1093</v>
      </c>
      <c r="B823" s="1">
        <v>45231</v>
      </c>
      <c r="C823" s="1">
        <f>DATE(YEAR(Table1[[#This Row],[Sale_Date]]), MONTH(Table1[[#This Row],[Sale_Date]]), 1)</f>
        <v>45231</v>
      </c>
      <c r="D823" t="s">
        <v>33</v>
      </c>
      <c r="E823" t="s">
        <v>15</v>
      </c>
      <c r="F823" s="2">
        <v>664.09</v>
      </c>
      <c r="G823">
        <v>46</v>
      </c>
      <c r="H823" t="s">
        <v>29</v>
      </c>
      <c r="I823" s="2">
        <v>401.64</v>
      </c>
      <c r="J823" s="2">
        <v>757.26</v>
      </c>
      <c r="K823" t="s">
        <v>30</v>
      </c>
      <c r="L823" s="5">
        <v>0.21</v>
      </c>
      <c r="M823" t="s">
        <v>31</v>
      </c>
      <c r="N823" t="s">
        <v>22</v>
      </c>
      <c r="O823" t="s">
        <v>53</v>
      </c>
      <c r="P823" s="4">
        <f t="shared" si="24"/>
        <v>27518.828400000002</v>
      </c>
      <c r="Q823" s="4">
        <f t="shared" si="25"/>
        <v>9043.3884000000016</v>
      </c>
      <c r="R823" t="str">
        <f>IF( Table1[[#This Row],[Total Amount after sale]] &gt; 0,"PROFIT","LOSS")</f>
        <v>PROFIT</v>
      </c>
      <c r="S823" s="3">
        <f>(Table1[[#This Row],[Total Amount after sale]]/Table1[[#This Row],[Price after discount]])</f>
        <v>0.3286254875589108</v>
      </c>
    </row>
    <row r="824" spans="1:19" x14ac:dyDescent="0.3">
      <c r="A824">
        <v>1028</v>
      </c>
      <c r="B824" s="1">
        <v>45231</v>
      </c>
      <c r="C824" s="1">
        <f>DATE(YEAR(Table1[[#This Row],[Sale_Date]]), MONTH(Table1[[#This Row],[Sale_Date]]), 1)</f>
        <v>45231</v>
      </c>
      <c r="D824" t="s">
        <v>14</v>
      </c>
      <c r="E824" t="s">
        <v>34</v>
      </c>
      <c r="F824" s="2">
        <v>7946.69</v>
      </c>
      <c r="G824">
        <v>24</v>
      </c>
      <c r="H824" t="s">
        <v>26</v>
      </c>
      <c r="I824" s="2">
        <v>911.11</v>
      </c>
      <c r="J824" s="2">
        <v>1214.56</v>
      </c>
      <c r="K824" t="s">
        <v>30</v>
      </c>
      <c r="L824" s="5">
        <v>0.22</v>
      </c>
      <c r="M824" t="s">
        <v>27</v>
      </c>
      <c r="N824" t="s">
        <v>19</v>
      </c>
      <c r="O824" t="s">
        <v>46</v>
      </c>
      <c r="P824" s="4">
        <f t="shared" si="24"/>
        <v>22736.563200000001</v>
      </c>
      <c r="Q824" s="4">
        <f t="shared" si="25"/>
        <v>869.92320000000018</v>
      </c>
      <c r="R824" t="str">
        <f>IF( Table1[[#This Row],[Total Amount after sale]] &gt; 0,"PROFIT","LOSS")</f>
        <v>PROFIT</v>
      </c>
      <c r="S824" s="3">
        <f>(Table1[[#This Row],[Total Amount after sale]]/Table1[[#This Row],[Price after discount]])</f>
        <v>3.8260980445804588E-2</v>
      </c>
    </row>
    <row r="825" spans="1:19" x14ac:dyDescent="0.3">
      <c r="A825">
        <v>1069</v>
      </c>
      <c r="B825" s="1">
        <v>45232</v>
      </c>
      <c r="C825" s="1">
        <f>DATE(YEAR(Table1[[#This Row],[Sale_Date]]), MONTH(Table1[[#This Row],[Sale_Date]]), 1)</f>
        <v>45231</v>
      </c>
      <c r="D825" t="s">
        <v>33</v>
      </c>
      <c r="E825" t="s">
        <v>15</v>
      </c>
      <c r="F825" s="2">
        <v>6283.68</v>
      </c>
      <c r="G825">
        <v>23</v>
      </c>
      <c r="H825" t="s">
        <v>16</v>
      </c>
      <c r="I825" s="2">
        <v>530.24</v>
      </c>
      <c r="J825" s="2">
        <v>987.41</v>
      </c>
      <c r="K825" t="s">
        <v>17</v>
      </c>
      <c r="L825" s="5">
        <v>0.23</v>
      </c>
      <c r="M825" t="s">
        <v>31</v>
      </c>
      <c r="N825" t="s">
        <v>19</v>
      </c>
      <c r="O825" t="s">
        <v>53</v>
      </c>
      <c r="P825" s="4">
        <f t="shared" si="24"/>
        <v>17487.0311</v>
      </c>
      <c r="Q825" s="4">
        <f t="shared" si="25"/>
        <v>5291.5110999999997</v>
      </c>
      <c r="R825" t="str">
        <f>IF( Table1[[#This Row],[Total Amount after sale]] &gt; 0,"PROFIT","LOSS")</f>
        <v>PROFIT</v>
      </c>
      <c r="S825" s="3">
        <f>(Table1[[#This Row],[Total Amount after sale]]/Table1[[#This Row],[Price after discount]])</f>
        <v>0.30259631093124778</v>
      </c>
    </row>
    <row r="826" spans="1:19" x14ac:dyDescent="0.3">
      <c r="A826">
        <v>1058</v>
      </c>
      <c r="B826" s="1">
        <v>45233</v>
      </c>
      <c r="C826" s="1">
        <f>DATE(YEAR(Table1[[#This Row],[Sale_Date]]), MONTH(Table1[[#This Row],[Sale_Date]]), 1)</f>
        <v>45231</v>
      </c>
      <c r="D826" t="s">
        <v>24</v>
      </c>
      <c r="E826" t="s">
        <v>21</v>
      </c>
      <c r="F826" s="2">
        <v>4050.45</v>
      </c>
      <c r="G826">
        <v>42</v>
      </c>
      <c r="H826" t="s">
        <v>29</v>
      </c>
      <c r="I826" s="2">
        <v>3600.95</v>
      </c>
      <c r="J826" s="2">
        <v>3702.8399999999901</v>
      </c>
      <c r="K826" t="s">
        <v>17</v>
      </c>
      <c r="L826" s="5">
        <v>0.01</v>
      </c>
      <c r="M826" t="s">
        <v>18</v>
      </c>
      <c r="N826" t="s">
        <v>22</v>
      </c>
      <c r="O826" t="s">
        <v>47</v>
      </c>
      <c r="P826" s="4">
        <f t="shared" si="24"/>
        <v>153964.08719999957</v>
      </c>
      <c r="Q826" s="4">
        <f t="shared" si="25"/>
        <v>2724.1871999995874</v>
      </c>
      <c r="R826" t="str">
        <f>IF( Table1[[#This Row],[Total Amount after sale]] &gt; 0,"PROFIT","LOSS")</f>
        <v>PROFIT</v>
      </c>
      <c r="S826" s="3">
        <f>(Table1[[#This Row],[Total Amount after sale]]/Table1[[#This Row],[Price after discount]])</f>
        <v>1.769365343270515E-2</v>
      </c>
    </row>
    <row r="827" spans="1:19" x14ac:dyDescent="0.3">
      <c r="A827">
        <v>1028</v>
      </c>
      <c r="B827" s="1">
        <v>45233</v>
      </c>
      <c r="C827" s="1">
        <f>DATE(YEAR(Table1[[#This Row],[Sale_Date]]), MONTH(Table1[[#This Row],[Sale_Date]]), 1)</f>
        <v>45231</v>
      </c>
      <c r="D827" t="s">
        <v>42</v>
      </c>
      <c r="E827" t="s">
        <v>15</v>
      </c>
      <c r="F827" s="2">
        <v>5755.48</v>
      </c>
      <c r="G827">
        <v>38</v>
      </c>
      <c r="H827" t="s">
        <v>29</v>
      </c>
      <c r="I827" s="2">
        <v>1234.69</v>
      </c>
      <c r="J827" s="2">
        <v>1511.26</v>
      </c>
      <c r="K827" t="s">
        <v>30</v>
      </c>
      <c r="L827" s="5">
        <v>0.1</v>
      </c>
      <c r="M827" t="s">
        <v>27</v>
      </c>
      <c r="N827" t="s">
        <v>19</v>
      </c>
      <c r="O827" t="s">
        <v>49</v>
      </c>
      <c r="P827" s="4">
        <f t="shared" si="24"/>
        <v>51685.092000000004</v>
      </c>
      <c r="Q827" s="4">
        <f t="shared" si="25"/>
        <v>4766.8719999999985</v>
      </c>
      <c r="R827" t="str">
        <f>IF( Table1[[#This Row],[Total Amount after sale]] &gt; 0,"PROFIT","LOSS")</f>
        <v>PROFIT</v>
      </c>
      <c r="S827" s="3">
        <f>(Table1[[#This Row],[Total Amount after sale]]/Table1[[#This Row],[Price after discount]])</f>
        <v>9.2229148010416581E-2</v>
      </c>
    </row>
    <row r="828" spans="1:19" x14ac:dyDescent="0.3">
      <c r="A828">
        <v>1065</v>
      </c>
      <c r="B828" s="1">
        <v>45235</v>
      </c>
      <c r="C828" s="1">
        <f>DATE(YEAR(Table1[[#This Row],[Sale_Date]]), MONTH(Table1[[#This Row],[Sale_Date]]), 1)</f>
        <v>45231</v>
      </c>
      <c r="D828" t="s">
        <v>42</v>
      </c>
      <c r="E828" t="s">
        <v>34</v>
      </c>
      <c r="F828" s="2">
        <v>9519.16</v>
      </c>
      <c r="G828">
        <v>3</v>
      </c>
      <c r="H828" t="s">
        <v>16</v>
      </c>
      <c r="I828" s="2">
        <v>4173.04</v>
      </c>
      <c r="J828" s="2">
        <v>4362.4399999999996</v>
      </c>
      <c r="K828" t="s">
        <v>30</v>
      </c>
      <c r="L828" s="5">
        <v>0.23</v>
      </c>
      <c r="M828" t="s">
        <v>27</v>
      </c>
      <c r="N828" t="s">
        <v>22</v>
      </c>
      <c r="O828" t="s">
        <v>52</v>
      </c>
      <c r="P828" s="4">
        <f t="shared" si="24"/>
        <v>10077.2364</v>
      </c>
      <c r="Q828" s="4">
        <f t="shared" si="25"/>
        <v>-2441.8836000000006</v>
      </c>
      <c r="R828" t="str">
        <f>IF( Table1[[#This Row],[Total Amount after sale]] &gt; 0,"PROFIT","LOSS")</f>
        <v>LOSS</v>
      </c>
      <c r="S828" s="3">
        <f>(Table1[[#This Row],[Total Amount after sale]]/Table1[[#This Row],[Price after discount]])</f>
        <v>-0.24231679233008771</v>
      </c>
    </row>
    <row r="829" spans="1:19" x14ac:dyDescent="0.3">
      <c r="A829">
        <v>1075</v>
      </c>
      <c r="B829" s="1">
        <v>45235</v>
      </c>
      <c r="C829" s="1">
        <f>DATE(YEAR(Table1[[#This Row],[Sale_Date]]), MONTH(Table1[[#This Row],[Sale_Date]]), 1)</f>
        <v>45231</v>
      </c>
      <c r="D829" t="s">
        <v>14</v>
      </c>
      <c r="E829" t="s">
        <v>34</v>
      </c>
      <c r="F829" s="2">
        <v>8127.7</v>
      </c>
      <c r="G829">
        <v>37</v>
      </c>
      <c r="H829" t="s">
        <v>26</v>
      </c>
      <c r="I829" s="2">
        <v>1675.51</v>
      </c>
      <c r="J829" s="2">
        <v>1906.6399999999901</v>
      </c>
      <c r="K829" t="s">
        <v>30</v>
      </c>
      <c r="L829" s="5">
        <v>0.13</v>
      </c>
      <c r="M829" t="s">
        <v>27</v>
      </c>
      <c r="N829" t="s">
        <v>19</v>
      </c>
      <c r="O829" t="s">
        <v>46</v>
      </c>
      <c r="P829" s="4">
        <f t="shared" si="24"/>
        <v>61374.741599999681</v>
      </c>
      <c r="Q829" s="4">
        <f t="shared" si="25"/>
        <v>-619.12840000031588</v>
      </c>
      <c r="R829" t="str">
        <f>IF( Table1[[#This Row],[Total Amount after sale]] &gt; 0,"PROFIT","LOSS")</f>
        <v>LOSS</v>
      </c>
      <c r="S829" s="3">
        <f>(Table1[[#This Row],[Total Amount after sale]]/Table1[[#This Row],[Price after discount]])</f>
        <v>-1.008767424285692E-2</v>
      </c>
    </row>
    <row r="830" spans="1:19" x14ac:dyDescent="0.3">
      <c r="A830">
        <v>1087</v>
      </c>
      <c r="B830" s="1">
        <v>45235</v>
      </c>
      <c r="C830" s="1">
        <f>DATE(YEAR(Table1[[#This Row],[Sale_Date]]), MONTH(Table1[[#This Row],[Sale_Date]]), 1)</f>
        <v>45231</v>
      </c>
      <c r="D830" t="s">
        <v>38</v>
      </c>
      <c r="E830" t="s">
        <v>34</v>
      </c>
      <c r="F830" s="2">
        <v>2106.06</v>
      </c>
      <c r="G830">
        <v>30</v>
      </c>
      <c r="H830" t="s">
        <v>35</v>
      </c>
      <c r="I830" s="2">
        <v>698.74</v>
      </c>
      <c r="J830" s="2">
        <v>882.28</v>
      </c>
      <c r="K830" t="s">
        <v>17</v>
      </c>
      <c r="L830" s="5">
        <v>0.15</v>
      </c>
      <c r="M830" t="s">
        <v>31</v>
      </c>
      <c r="N830" t="s">
        <v>19</v>
      </c>
      <c r="O830" t="s">
        <v>48</v>
      </c>
      <c r="P830" s="4">
        <f t="shared" si="24"/>
        <v>22498.14</v>
      </c>
      <c r="Q830" s="4">
        <f t="shared" si="25"/>
        <v>1535.9399999999994</v>
      </c>
      <c r="R830" t="str">
        <f>IF( Table1[[#This Row],[Total Amount after sale]] &gt; 0,"PROFIT","LOSS")</f>
        <v>PROFIT</v>
      </c>
      <c r="S830" s="3">
        <f>(Table1[[#This Row],[Total Amount after sale]]/Table1[[#This Row],[Price after discount]])</f>
        <v>6.8269643623872875E-2</v>
      </c>
    </row>
    <row r="831" spans="1:19" x14ac:dyDescent="0.3">
      <c r="A831">
        <v>1072</v>
      </c>
      <c r="B831" s="1">
        <v>45235</v>
      </c>
      <c r="C831" s="1">
        <f>DATE(YEAR(Table1[[#This Row],[Sale_Date]]), MONTH(Table1[[#This Row],[Sale_Date]]), 1)</f>
        <v>45231</v>
      </c>
      <c r="D831" t="s">
        <v>24</v>
      </c>
      <c r="E831" t="s">
        <v>21</v>
      </c>
      <c r="F831" s="2">
        <v>5969.12</v>
      </c>
      <c r="G831">
        <v>39</v>
      </c>
      <c r="H831" t="s">
        <v>29</v>
      </c>
      <c r="I831" s="2">
        <v>591.98</v>
      </c>
      <c r="J831" s="2">
        <v>934.04</v>
      </c>
      <c r="K831" t="s">
        <v>30</v>
      </c>
      <c r="L831" s="5">
        <v>0.26</v>
      </c>
      <c r="M831" t="s">
        <v>27</v>
      </c>
      <c r="N831" t="s">
        <v>22</v>
      </c>
      <c r="O831" t="s">
        <v>47</v>
      </c>
      <c r="P831" s="4">
        <f t="shared" si="24"/>
        <v>26956.394399999997</v>
      </c>
      <c r="Q831" s="4">
        <f t="shared" si="25"/>
        <v>3869.1743999999962</v>
      </c>
      <c r="R831" t="str">
        <f>IF( Table1[[#This Row],[Total Amount after sale]] &gt; 0,"PROFIT","LOSS")</f>
        <v>PROFIT</v>
      </c>
      <c r="S831" s="3">
        <f>(Table1[[#This Row],[Total Amount after sale]]/Table1[[#This Row],[Price after discount]])</f>
        <v>0.14353456707103218</v>
      </c>
    </row>
    <row r="832" spans="1:19" x14ac:dyDescent="0.3">
      <c r="A832">
        <v>1086</v>
      </c>
      <c r="B832" s="1">
        <v>45235</v>
      </c>
      <c r="C832" s="1">
        <f>DATE(YEAR(Table1[[#This Row],[Sale_Date]]), MONTH(Table1[[#This Row],[Sale_Date]]), 1)</f>
        <v>45231</v>
      </c>
      <c r="D832" t="s">
        <v>42</v>
      </c>
      <c r="E832" t="s">
        <v>25</v>
      </c>
      <c r="F832" s="2">
        <v>2928.5</v>
      </c>
      <c r="G832">
        <v>10</v>
      </c>
      <c r="H832" t="s">
        <v>16</v>
      </c>
      <c r="I832" s="2">
        <v>2273.91</v>
      </c>
      <c r="J832" s="2">
        <v>2578.7999999999902</v>
      </c>
      <c r="K832" t="s">
        <v>30</v>
      </c>
      <c r="L832" s="5">
        <v>0.14000000000000001</v>
      </c>
      <c r="M832" t="s">
        <v>18</v>
      </c>
      <c r="N832" t="s">
        <v>19</v>
      </c>
      <c r="O832" t="s">
        <v>43</v>
      </c>
      <c r="P832" s="4">
        <f t="shared" si="24"/>
        <v>22177.679999999913</v>
      </c>
      <c r="Q832" s="4">
        <f t="shared" si="25"/>
        <v>-561.42000000008466</v>
      </c>
      <c r="R832" t="str">
        <f>IF( Table1[[#This Row],[Total Amount after sale]] &gt; 0,"PROFIT","LOSS")</f>
        <v>LOSS</v>
      </c>
      <c r="S832" s="3">
        <f>(Table1[[#This Row],[Total Amount after sale]]/Table1[[#This Row],[Price after discount]])</f>
        <v>-2.5314640665754347E-2</v>
      </c>
    </row>
    <row r="833" spans="1:19" x14ac:dyDescent="0.3">
      <c r="A833">
        <v>1062</v>
      </c>
      <c r="B833" s="1">
        <v>45236</v>
      </c>
      <c r="C833" s="1">
        <f>DATE(YEAR(Table1[[#This Row],[Sale_Date]]), MONTH(Table1[[#This Row],[Sale_Date]]), 1)</f>
        <v>45231</v>
      </c>
      <c r="D833" t="s">
        <v>24</v>
      </c>
      <c r="E833" t="s">
        <v>34</v>
      </c>
      <c r="F833" s="2">
        <v>2605.71</v>
      </c>
      <c r="G833">
        <v>25</v>
      </c>
      <c r="H833" t="s">
        <v>26</v>
      </c>
      <c r="I833" s="2">
        <v>2361.0500000000002</v>
      </c>
      <c r="J833" s="2">
        <v>2616.19</v>
      </c>
      <c r="K833" t="s">
        <v>30</v>
      </c>
      <c r="L833" s="5">
        <v>0.3</v>
      </c>
      <c r="M833" t="s">
        <v>27</v>
      </c>
      <c r="N833" t="s">
        <v>22</v>
      </c>
      <c r="O833" t="s">
        <v>50</v>
      </c>
      <c r="P833" s="4">
        <f t="shared" si="24"/>
        <v>45783.324999999997</v>
      </c>
      <c r="Q833" s="4">
        <f t="shared" si="25"/>
        <v>-13242.925000000008</v>
      </c>
      <c r="R833" t="str">
        <f>IF( Table1[[#This Row],[Total Amount after sale]] &gt; 0,"PROFIT","LOSS")</f>
        <v>LOSS</v>
      </c>
      <c r="S833" s="3">
        <f>(Table1[[#This Row],[Total Amount after sale]]/Table1[[#This Row],[Price after discount]])</f>
        <v>-0.28925214584130815</v>
      </c>
    </row>
    <row r="834" spans="1:19" x14ac:dyDescent="0.3">
      <c r="A834">
        <v>1006</v>
      </c>
      <c r="B834" s="1">
        <v>45236</v>
      </c>
      <c r="C834" s="1">
        <f>DATE(YEAR(Table1[[#This Row],[Sale_Date]]), MONTH(Table1[[#This Row],[Sale_Date]]), 1)</f>
        <v>45231</v>
      </c>
      <c r="D834" t="s">
        <v>14</v>
      </c>
      <c r="E834" t="s">
        <v>25</v>
      </c>
      <c r="F834" s="2">
        <v>189.64</v>
      </c>
      <c r="G834">
        <v>22</v>
      </c>
      <c r="H834" t="s">
        <v>26</v>
      </c>
      <c r="I834" s="2">
        <v>834.32</v>
      </c>
      <c r="J834" s="2">
        <v>1098.97</v>
      </c>
      <c r="K834" t="s">
        <v>17</v>
      </c>
      <c r="L834" s="5">
        <v>0.17</v>
      </c>
      <c r="M834" t="s">
        <v>18</v>
      </c>
      <c r="N834" t="s">
        <v>19</v>
      </c>
      <c r="O834" t="s">
        <v>32</v>
      </c>
      <c r="P834" s="4">
        <f t="shared" ref="P834:P897" si="26" xml:space="preserve"> J834 * (1 - L834) * G834</f>
        <v>20067.192199999998</v>
      </c>
      <c r="Q834" s="4">
        <f t="shared" ref="Q834:Q897" si="27" xml:space="preserve"> (J834 * (1 - L834) - I834) * G834</f>
        <v>1712.1521999999979</v>
      </c>
      <c r="R834" t="str">
        <f>IF( Table1[[#This Row],[Total Amount after sale]] &gt; 0,"PROFIT","LOSS")</f>
        <v>PROFIT</v>
      </c>
      <c r="S834" s="3">
        <f>(Table1[[#This Row],[Total Amount after sale]]/Table1[[#This Row],[Price after discount]])</f>
        <v>8.5320964833336177E-2</v>
      </c>
    </row>
    <row r="835" spans="1:19" x14ac:dyDescent="0.3">
      <c r="A835">
        <v>1071</v>
      </c>
      <c r="B835" s="1">
        <v>45236</v>
      </c>
      <c r="C835" s="1">
        <f>DATE(YEAR(Table1[[#This Row],[Sale_Date]]), MONTH(Table1[[#This Row],[Sale_Date]]), 1)</f>
        <v>45231</v>
      </c>
      <c r="D835" t="s">
        <v>24</v>
      </c>
      <c r="E835" t="s">
        <v>15</v>
      </c>
      <c r="F835" s="2">
        <v>7262.09</v>
      </c>
      <c r="G835">
        <v>47</v>
      </c>
      <c r="H835" t="s">
        <v>26</v>
      </c>
      <c r="I835" s="2">
        <v>3942.34</v>
      </c>
      <c r="J835" s="2">
        <v>4142.09</v>
      </c>
      <c r="K835" t="s">
        <v>17</v>
      </c>
      <c r="L835" s="5">
        <v>0.03</v>
      </c>
      <c r="M835" t="s">
        <v>31</v>
      </c>
      <c r="N835" t="s">
        <v>22</v>
      </c>
      <c r="O835" t="s">
        <v>45</v>
      </c>
      <c r="P835" s="4">
        <f t="shared" si="26"/>
        <v>188837.88310000001</v>
      </c>
      <c r="Q835" s="4">
        <f t="shared" si="27"/>
        <v>3547.9030999999895</v>
      </c>
      <c r="R835" t="str">
        <f>IF( Table1[[#This Row],[Total Amount after sale]] &gt; 0,"PROFIT","LOSS")</f>
        <v>PROFIT</v>
      </c>
      <c r="S835" s="3">
        <f>(Table1[[#This Row],[Total Amount after sale]]/Table1[[#This Row],[Price after discount]])</f>
        <v>1.878808977180273E-2</v>
      </c>
    </row>
    <row r="836" spans="1:19" x14ac:dyDescent="0.3">
      <c r="A836">
        <v>1088</v>
      </c>
      <c r="B836" s="1">
        <v>45236</v>
      </c>
      <c r="C836" s="1">
        <f>DATE(YEAR(Table1[[#This Row],[Sale_Date]]), MONTH(Table1[[#This Row],[Sale_Date]]), 1)</f>
        <v>45231</v>
      </c>
      <c r="D836" t="s">
        <v>24</v>
      </c>
      <c r="E836" t="s">
        <v>25</v>
      </c>
      <c r="F836" s="2">
        <v>6772.54</v>
      </c>
      <c r="G836">
        <v>8</v>
      </c>
      <c r="H836" t="s">
        <v>26</v>
      </c>
      <c r="I836" s="2">
        <v>1786.35</v>
      </c>
      <c r="J836" s="2">
        <v>1935.29</v>
      </c>
      <c r="K836" t="s">
        <v>30</v>
      </c>
      <c r="L836" s="5">
        <v>0.04</v>
      </c>
      <c r="M836" t="s">
        <v>18</v>
      </c>
      <c r="N836" t="s">
        <v>19</v>
      </c>
      <c r="O836" t="s">
        <v>28</v>
      </c>
      <c r="P836" s="4">
        <f t="shared" si="26"/>
        <v>14863.027199999999</v>
      </c>
      <c r="Q836" s="4">
        <f t="shared" si="27"/>
        <v>572.22719999999936</v>
      </c>
      <c r="R836" t="str">
        <f>IF( Table1[[#This Row],[Total Amount after sale]] &gt; 0,"PROFIT","LOSS")</f>
        <v>PROFIT</v>
      </c>
      <c r="S836" s="3">
        <f>(Table1[[#This Row],[Total Amount after sale]]/Table1[[#This Row],[Price after discount]])</f>
        <v>3.8500043921066054E-2</v>
      </c>
    </row>
    <row r="837" spans="1:19" x14ac:dyDescent="0.3">
      <c r="A837">
        <v>1089</v>
      </c>
      <c r="B837" s="1">
        <v>45237</v>
      </c>
      <c r="C837" s="1">
        <f>DATE(YEAR(Table1[[#This Row],[Sale_Date]]), MONTH(Table1[[#This Row],[Sale_Date]]), 1)</f>
        <v>45231</v>
      </c>
      <c r="D837" t="s">
        <v>14</v>
      </c>
      <c r="E837" t="s">
        <v>21</v>
      </c>
      <c r="F837" s="2">
        <v>2945.36</v>
      </c>
      <c r="G837">
        <v>47</v>
      </c>
      <c r="H837" t="s">
        <v>16</v>
      </c>
      <c r="I837" s="2">
        <v>4157.62</v>
      </c>
      <c r="J837" s="2">
        <v>4314.5599999999904</v>
      </c>
      <c r="K837" t="s">
        <v>30</v>
      </c>
      <c r="L837" s="5">
        <v>0.17</v>
      </c>
      <c r="M837" t="s">
        <v>27</v>
      </c>
      <c r="N837" t="s">
        <v>22</v>
      </c>
      <c r="O837" t="s">
        <v>23</v>
      </c>
      <c r="P837" s="4">
        <f t="shared" si="26"/>
        <v>168310.98559999961</v>
      </c>
      <c r="Q837" s="4">
        <f t="shared" si="27"/>
        <v>-27097.154400000374</v>
      </c>
      <c r="R837" t="str">
        <f>IF( Table1[[#This Row],[Total Amount after sale]] &gt; 0,"PROFIT","LOSS")</f>
        <v>LOSS</v>
      </c>
      <c r="S837" s="3">
        <f>(Table1[[#This Row],[Total Amount after sale]]/Table1[[#This Row],[Price after discount]])</f>
        <v>-0.16099456790300226</v>
      </c>
    </row>
    <row r="838" spans="1:19" x14ac:dyDescent="0.3">
      <c r="A838">
        <v>1098</v>
      </c>
      <c r="B838" s="1">
        <v>45237</v>
      </c>
      <c r="C838" s="1">
        <f>DATE(YEAR(Table1[[#This Row],[Sale_Date]]), MONTH(Table1[[#This Row],[Sale_Date]]), 1)</f>
        <v>45231</v>
      </c>
      <c r="D838" t="s">
        <v>42</v>
      </c>
      <c r="E838" t="s">
        <v>21</v>
      </c>
      <c r="F838" s="2">
        <v>3166.9</v>
      </c>
      <c r="G838">
        <v>31</v>
      </c>
      <c r="H838" t="s">
        <v>26</v>
      </c>
      <c r="I838" s="2">
        <v>2407.8000000000002</v>
      </c>
      <c r="J838" s="2">
        <v>2502.7600000000002</v>
      </c>
      <c r="K838" t="s">
        <v>17</v>
      </c>
      <c r="L838" s="5">
        <v>0.27</v>
      </c>
      <c r="M838" t="s">
        <v>18</v>
      </c>
      <c r="N838" t="s">
        <v>22</v>
      </c>
      <c r="O838" t="s">
        <v>51</v>
      </c>
      <c r="P838" s="4">
        <f t="shared" si="26"/>
        <v>56637.458800000008</v>
      </c>
      <c r="Q838" s="4">
        <f t="shared" si="27"/>
        <v>-18004.341200000003</v>
      </c>
      <c r="R838" t="str">
        <f>IF( Table1[[#This Row],[Total Amount after sale]] &gt; 0,"PROFIT","LOSS")</f>
        <v>LOSS</v>
      </c>
      <c r="S838" s="3">
        <f>(Table1[[#This Row],[Total Amount after sale]]/Table1[[#This Row],[Price after discount]])</f>
        <v>-0.31788751793362596</v>
      </c>
    </row>
    <row r="839" spans="1:19" x14ac:dyDescent="0.3">
      <c r="A839">
        <v>1057</v>
      </c>
      <c r="B839" s="1">
        <v>45237</v>
      </c>
      <c r="C839" s="1">
        <f>DATE(YEAR(Table1[[#This Row],[Sale_Date]]), MONTH(Table1[[#This Row],[Sale_Date]]), 1)</f>
        <v>45231</v>
      </c>
      <c r="D839" t="s">
        <v>14</v>
      </c>
      <c r="E839" t="s">
        <v>34</v>
      </c>
      <c r="F839" s="2">
        <v>7084.06</v>
      </c>
      <c r="G839">
        <v>26</v>
      </c>
      <c r="H839" t="s">
        <v>29</v>
      </c>
      <c r="I839" s="2">
        <v>1291.82</v>
      </c>
      <c r="J839" s="2">
        <v>1308.4399999999901</v>
      </c>
      <c r="K839" t="s">
        <v>17</v>
      </c>
      <c r="L839" s="5">
        <v>7.0000000000000007E-2</v>
      </c>
      <c r="M839" t="s">
        <v>31</v>
      </c>
      <c r="N839" t="s">
        <v>19</v>
      </c>
      <c r="O839" t="s">
        <v>46</v>
      </c>
      <c r="P839" s="4">
        <f t="shared" si="26"/>
        <v>31638.079199999753</v>
      </c>
      <c r="Q839" s="4">
        <f t="shared" si="27"/>
        <v>-1949.2408000002438</v>
      </c>
      <c r="R839" t="str">
        <f>IF( Table1[[#This Row],[Total Amount after sale]] &gt; 0,"PROFIT","LOSS")</f>
        <v>LOSS</v>
      </c>
      <c r="S839" s="3">
        <f>(Table1[[#This Row],[Total Amount after sale]]/Table1[[#This Row],[Price after discount]])</f>
        <v>-6.1610592339634167E-2</v>
      </c>
    </row>
    <row r="840" spans="1:19" x14ac:dyDescent="0.3">
      <c r="A840">
        <v>1095</v>
      </c>
      <c r="B840" s="1">
        <v>45237</v>
      </c>
      <c r="C840" s="1">
        <f>DATE(YEAR(Table1[[#This Row],[Sale_Date]]), MONTH(Table1[[#This Row],[Sale_Date]]), 1)</f>
        <v>45231</v>
      </c>
      <c r="D840" t="s">
        <v>33</v>
      </c>
      <c r="E840" t="s">
        <v>21</v>
      </c>
      <c r="F840" s="2">
        <v>6970.1</v>
      </c>
      <c r="G840">
        <v>32</v>
      </c>
      <c r="H840" t="s">
        <v>29</v>
      </c>
      <c r="I840" s="2">
        <v>4266.6400000000003</v>
      </c>
      <c r="J840" s="2">
        <v>4523.3599999999997</v>
      </c>
      <c r="K840" t="s">
        <v>30</v>
      </c>
      <c r="L840" s="5">
        <v>0.3</v>
      </c>
      <c r="M840" t="s">
        <v>27</v>
      </c>
      <c r="N840" t="s">
        <v>22</v>
      </c>
      <c r="O840" t="s">
        <v>37</v>
      </c>
      <c r="P840" s="4">
        <f t="shared" si="26"/>
        <v>101323.26399999998</v>
      </c>
      <c r="Q840" s="4">
        <f t="shared" si="27"/>
        <v>-35209.216000000029</v>
      </c>
      <c r="R840" t="str">
        <f>IF( Table1[[#This Row],[Total Amount after sale]] &gt; 0,"PROFIT","LOSS")</f>
        <v>LOSS</v>
      </c>
      <c r="S840" s="3">
        <f>(Table1[[#This Row],[Total Amount after sale]]/Table1[[#This Row],[Price after discount]])</f>
        <v>-0.34749389834105654</v>
      </c>
    </row>
    <row r="841" spans="1:19" x14ac:dyDescent="0.3">
      <c r="A841">
        <v>1052</v>
      </c>
      <c r="B841" s="1">
        <v>45238</v>
      </c>
      <c r="C841" s="1">
        <f>DATE(YEAR(Table1[[#This Row],[Sale_Date]]), MONTH(Table1[[#This Row],[Sale_Date]]), 1)</f>
        <v>45231</v>
      </c>
      <c r="D841" t="s">
        <v>33</v>
      </c>
      <c r="E841" t="s">
        <v>34</v>
      </c>
      <c r="F841" s="2">
        <v>2072.7800000000002</v>
      </c>
      <c r="G841">
        <v>18</v>
      </c>
      <c r="H841" t="s">
        <v>16</v>
      </c>
      <c r="I841" s="2">
        <v>3271.62</v>
      </c>
      <c r="J841" s="2">
        <v>3722.38</v>
      </c>
      <c r="K841" t="s">
        <v>17</v>
      </c>
      <c r="L841" s="5">
        <v>0.19</v>
      </c>
      <c r="M841" t="s">
        <v>27</v>
      </c>
      <c r="N841" t="s">
        <v>22</v>
      </c>
      <c r="O841" t="s">
        <v>36</v>
      </c>
      <c r="P841" s="4">
        <f t="shared" si="26"/>
        <v>54272.300400000007</v>
      </c>
      <c r="Q841" s="4">
        <f t="shared" si="27"/>
        <v>-4616.8595999999943</v>
      </c>
      <c r="R841" t="str">
        <f>IF( Table1[[#This Row],[Total Amount after sale]] &gt; 0,"PROFIT","LOSS")</f>
        <v>LOSS</v>
      </c>
      <c r="S841" s="3">
        <f>(Table1[[#This Row],[Total Amount after sale]]/Table1[[#This Row],[Price after discount]])</f>
        <v>-8.5068433915139408E-2</v>
      </c>
    </row>
    <row r="842" spans="1:19" x14ac:dyDescent="0.3">
      <c r="A842">
        <v>1059</v>
      </c>
      <c r="B842" s="1">
        <v>45238</v>
      </c>
      <c r="C842" s="1">
        <f>DATE(YEAR(Table1[[#This Row],[Sale_Date]]), MONTH(Table1[[#This Row],[Sale_Date]]), 1)</f>
        <v>45231</v>
      </c>
      <c r="D842" t="s">
        <v>24</v>
      </c>
      <c r="E842" t="s">
        <v>25</v>
      </c>
      <c r="F842" s="2">
        <v>8466.7000000000007</v>
      </c>
      <c r="G842">
        <v>17</v>
      </c>
      <c r="H842" t="s">
        <v>29</v>
      </c>
      <c r="I842" s="2">
        <v>1780.14</v>
      </c>
      <c r="J842" s="2">
        <v>2185.42</v>
      </c>
      <c r="K842" t="s">
        <v>17</v>
      </c>
      <c r="L842" s="5">
        <v>0.15</v>
      </c>
      <c r="M842" t="s">
        <v>31</v>
      </c>
      <c r="N842" t="s">
        <v>22</v>
      </c>
      <c r="O842" t="s">
        <v>28</v>
      </c>
      <c r="P842" s="4">
        <f t="shared" si="26"/>
        <v>31579.319</v>
      </c>
      <c r="Q842" s="4">
        <f t="shared" si="27"/>
        <v>1316.9389999999978</v>
      </c>
      <c r="R842" t="str">
        <f>IF( Table1[[#This Row],[Total Amount after sale]] &gt; 0,"PROFIT","LOSS")</f>
        <v>PROFIT</v>
      </c>
      <c r="S842" s="3">
        <f>(Table1[[#This Row],[Total Amount after sale]]/Table1[[#This Row],[Price after discount]])</f>
        <v>4.170257756349964E-2</v>
      </c>
    </row>
    <row r="843" spans="1:19" x14ac:dyDescent="0.3">
      <c r="A843">
        <v>1032</v>
      </c>
      <c r="B843" s="1">
        <v>45239</v>
      </c>
      <c r="C843" s="1">
        <f>DATE(YEAR(Table1[[#This Row],[Sale_Date]]), MONTH(Table1[[#This Row],[Sale_Date]]), 1)</f>
        <v>45231</v>
      </c>
      <c r="D843" t="s">
        <v>14</v>
      </c>
      <c r="E843" t="s">
        <v>34</v>
      </c>
      <c r="F843" s="2">
        <v>804.47</v>
      </c>
      <c r="G843">
        <v>25</v>
      </c>
      <c r="H843" t="s">
        <v>35</v>
      </c>
      <c r="I843" s="2">
        <v>2934.3</v>
      </c>
      <c r="J843" s="2">
        <v>3337.4</v>
      </c>
      <c r="K843" t="s">
        <v>17</v>
      </c>
      <c r="L843" s="5">
        <v>0.25</v>
      </c>
      <c r="M843" t="s">
        <v>31</v>
      </c>
      <c r="N843" t="s">
        <v>22</v>
      </c>
      <c r="O843" t="s">
        <v>46</v>
      </c>
      <c r="P843" s="4">
        <f t="shared" si="26"/>
        <v>62576.250000000007</v>
      </c>
      <c r="Q843" s="4">
        <f t="shared" si="27"/>
        <v>-10781.25</v>
      </c>
      <c r="R843" t="str">
        <f>IF( Table1[[#This Row],[Total Amount after sale]] &gt; 0,"PROFIT","LOSS")</f>
        <v>LOSS</v>
      </c>
      <c r="S843" s="3">
        <f>(Table1[[#This Row],[Total Amount after sale]]/Table1[[#This Row],[Price after discount]])</f>
        <v>-0.17228980643614789</v>
      </c>
    </row>
    <row r="844" spans="1:19" x14ac:dyDescent="0.3">
      <c r="A844">
        <v>1038</v>
      </c>
      <c r="B844" s="1">
        <v>45239</v>
      </c>
      <c r="C844" s="1">
        <f>DATE(YEAR(Table1[[#This Row],[Sale_Date]]), MONTH(Table1[[#This Row],[Sale_Date]]), 1)</f>
        <v>45231</v>
      </c>
      <c r="D844" t="s">
        <v>24</v>
      </c>
      <c r="E844" t="s">
        <v>34</v>
      </c>
      <c r="F844" s="2">
        <v>6966.82</v>
      </c>
      <c r="G844">
        <v>1</v>
      </c>
      <c r="H844" t="s">
        <v>26</v>
      </c>
      <c r="I844" s="2">
        <v>1281.6500000000001</v>
      </c>
      <c r="J844" s="2">
        <v>1709.71</v>
      </c>
      <c r="K844" t="s">
        <v>17</v>
      </c>
      <c r="L844" s="5">
        <v>0.14000000000000001</v>
      </c>
      <c r="M844" t="s">
        <v>31</v>
      </c>
      <c r="N844" t="s">
        <v>19</v>
      </c>
      <c r="O844" t="s">
        <v>50</v>
      </c>
      <c r="P844" s="4">
        <f t="shared" si="26"/>
        <v>1470.3506</v>
      </c>
      <c r="Q844" s="4">
        <f t="shared" si="27"/>
        <v>188.70059999999989</v>
      </c>
      <c r="R844" t="str">
        <f>IF( Table1[[#This Row],[Total Amount after sale]] &gt; 0,"PROFIT","LOSS")</f>
        <v>PROFIT</v>
      </c>
      <c r="S844" s="3">
        <f>(Table1[[#This Row],[Total Amount after sale]]/Table1[[#This Row],[Price after discount]])</f>
        <v>0.12833714625613776</v>
      </c>
    </row>
    <row r="845" spans="1:19" x14ac:dyDescent="0.3">
      <c r="A845">
        <v>1033</v>
      </c>
      <c r="B845" s="1">
        <v>45239</v>
      </c>
      <c r="C845" s="1">
        <f>DATE(YEAR(Table1[[#This Row],[Sale_Date]]), MONTH(Table1[[#This Row],[Sale_Date]]), 1)</f>
        <v>45231</v>
      </c>
      <c r="D845" t="s">
        <v>24</v>
      </c>
      <c r="E845" t="s">
        <v>34</v>
      </c>
      <c r="F845" s="2">
        <v>7370.99</v>
      </c>
      <c r="G845">
        <v>6</v>
      </c>
      <c r="H845" t="s">
        <v>29</v>
      </c>
      <c r="I845" s="2">
        <v>1621.07</v>
      </c>
      <c r="J845" s="2">
        <v>1687.5</v>
      </c>
      <c r="K845" t="s">
        <v>17</v>
      </c>
      <c r="L845" s="5">
        <v>0.12</v>
      </c>
      <c r="M845" t="s">
        <v>31</v>
      </c>
      <c r="N845" t="s">
        <v>19</v>
      </c>
      <c r="O845" t="s">
        <v>50</v>
      </c>
      <c r="P845" s="4">
        <f t="shared" si="26"/>
        <v>8910</v>
      </c>
      <c r="Q845" s="4">
        <f t="shared" si="27"/>
        <v>-816.41999999999962</v>
      </c>
      <c r="R845" t="str">
        <f>IF( Table1[[#This Row],[Total Amount after sale]] &gt; 0,"PROFIT","LOSS")</f>
        <v>LOSS</v>
      </c>
      <c r="S845" s="3">
        <f>(Table1[[#This Row],[Total Amount after sale]]/Table1[[#This Row],[Price after discount]])</f>
        <v>-9.1629629629629589E-2</v>
      </c>
    </row>
    <row r="846" spans="1:19" x14ac:dyDescent="0.3">
      <c r="A846">
        <v>1014</v>
      </c>
      <c r="B846" s="1">
        <v>45239</v>
      </c>
      <c r="C846" s="1">
        <f>DATE(YEAR(Table1[[#This Row],[Sale_Date]]), MONTH(Table1[[#This Row],[Sale_Date]]), 1)</f>
        <v>45231</v>
      </c>
      <c r="D846" t="s">
        <v>24</v>
      </c>
      <c r="E846" t="s">
        <v>15</v>
      </c>
      <c r="F846" s="2">
        <v>6016.92</v>
      </c>
      <c r="G846">
        <v>9</v>
      </c>
      <c r="H846" t="s">
        <v>35</v>
      </c>
      <c r="I846" s="2">
        <v>132.47</v>
      </c>
      <c r="J846" s="2">
        <v>316.39</v>
      </c>
      <c r="K846" t="s">
        <v>30</v>
      </c>
      <c r="L846" s="5">
        <v>0.14000000000000001</v>
      </c>
      <c r="M846" t="s">
        <v>31</v>
      </c>
      <c r="N846" t="s">
        <v>19</v>
      </c>
      <c r="O846" t="s">
        <v>45</v>
      </c>
      <c r="P846" s="4">
        <f t="shared" si="26"/>
        <v>2448.8586</v>
      </c>
      <c r="Q846" s="4">
        <f t="shared" si="27"/>
        <v>1256.6285999999998</v>
      </c>
      <c r="R846" t="str">
        <f>IF( Table1[[#This Row],[Total Amount after sale]] &gt; 0,"PROFIT","LOSS")</f>
        <v>PROFIT</v>
      </c>
      <c r="S846" s="3">
        <f>(Table1[[#This Row],[Total Amount after sale]]/Table1[[#This Row],[Price after discount]])</f>
        <v>0.51314869711138067</v>
      </c>
    </row>
    <row r="847" spans="1:19" x14ac:dyDescent="0.3">
      <c r="A847">
        <v>1016</v>
      </c>
      <c r="B847" s="1">
        <v>45239</v>
      </c>
      <c r="C847" s="1">
        <f>DATE(YEAR(Table1[[#This Row],[Sale_Date]]), MONTH(Table1[[#This Row],[Sale_Date]]), 1)</f>
        <v>45231</v>
      </c>
      <c r="D847" t="s">
        <v>33</v>
      </c>
      <c r="E847" t="s">
        <v>25</v>
      </c>
      <c r="F847" s="2">
        <v>3402.92</v>
      </c>
      <c r="G847">
        <v>24</v>
      </c>
      <c r="H847" t="s">
        <v>16</v>
      </c>
      <c r="I847" s="2">
        <v>88.44</v>
      </c>
      <c r="J847" s="2">
        <v>338.94</v>
      </c>
      <c r="K847" t="s">
        <v>30</v>
      </c>
      <c r="L847" s="5">
        <v>0.28999999999999998</v>
      </c>
      <c r="M847" t="s">
        <v>18</v>
      </c>
      <c r="N847" t="s">
        <v>19</v>
      </c>
      <c r="O847" t="s">
        <v>44</v>
      </c>
      <c r="P847" s="4">
        <f t="shared" si="26"/>
        <v>5775.5375999999997</v>
      </c>
      <c r="Q847" s="4">
        <f t="shared" si="27"/>
        <v>3652.9775999999993</v>
      </c>
      <c r="R847" t="str">
        <f>IF( Table1[[#This Row],[Total Amount after sale]] &gt; 0,"PROFIT","LOSS")</f>
        <v>PROFIT</v>
      </c>
      <c r="S847" s="3">
        <f>(Table1[[#This Row],[Total Amount after sale]]/Table1[[#This Row],[Price after discount]])</f>
        <v>0.63249135457104455</v>
      </c>
    </row>
    <row r="848" spans="1:19" x14ac:dyDescent="0.3">
      <c r="A848">
        <v>1019</v>
      </c>
      <c r="B848" s="1">
        <v>45240</v>
      </c>
      <c r="C848" s="1">
        <f>DATE(YEAR(Table1[[#This Row],[Sale_Date]]), MONTH(Table1[[#This Row],[Sale_Date]]), 1)</f>
        <v>45231</v>
      </c>
      <c r="D848" t="s">
        <v>14</v>
      </c>
      <c r="E848" t="s">
        <v>34</v>
      </c>
      <c r="F848" s="2">
        <v>7632.43</v>
      </c>
      <c r="G848">
        <v>33</v>
      </c>
      <c r="H848" t="s">
        <v>16</v>
      </c>
      <c r="I848" s="2">
        <v>1362.31</v>
      </c>
      <c r="J848" s="2">
        <v>1486.29</v>
      </c>
      <c r="K848" t="s">
        <v>17</v>
      </c>
      <c r="L848" s="5">
        <v>0.18</v>
      </c>
      <c r="M848" t="s">
        <v>31</v>
      </c>
      <c r="N848" t="s">
        <v>22</v>
      </c>
      <c r="O848" t="s">
        <v>46</v>
      </c>
      <c r="P848" s="4">
        <f t="shared" si="26"/>
        <v>40219.007400000002</v>
      </c>
      <c r="Q848" s="4">
        <f t="shared" si="27"/>
        <v>-4737.2225999999955</v>
      </c>
      <c r="R848" t="str">
        <f>IF( Table1[[#This Row],[Total Amount after sale]] &gt; 0,"PROFIT","LOSS")</f>
        <v>LOSS</v>
      </c>
      <c r="S848" s="3">
        <f>(Table1[[#This Row],[Total Amount after sale]]/Table1[[#This Row],[Price after discount]])</f>
        <v>-0.11778566668455362</v>
      </c>
    </row>
    <row r="849" spans="1:19" x14ac:dyDescent="0.3">
      <c r="A849">
        <v>1090</v>
      </c>
      <c r="B849" s="1">
        <v>45240</v>
      </c>
      <c r="C849" s="1">
        <f>DATE(YEAR(Table1[[#This Row],[Sale_Date]]), MONTH(Table1[[#This Row],[Sale_Date]]), 1)</f>
        <v>45231</v>
      </c>
      <c r="D849" t="s">
        <v>42</v>
      </c>
      <c r="E849" t="s">
        <v>15</v>
      </c>
      <c r="F849" s="2">
        <v>3349.51</v>
      </c>
      <c r="G849">
        <v>16</v>
      </c>
      <c r="H849" t="s">
        <v>29</v>
      </c>
      <c r="I849" s="2">
        <v>2183.37</v>
      </c>
      <c r="J849" s="2">
        <v>2263.3599999999901</v>
      </c>
      <c r="K849" t="s">
        <v>17</v>
      </c>
      <c r="L849" s="5">
        <v>0</v>
      </c>
      <c r="M849" t="s">
        <v>27</v>
      </c>
      <c r="N849" t="s">
        <v>22</v>
      </c>
      <c r="O849" t="s">
        <v>49</v>
      </c>
      <c r="P849" s="4">
        <f t="shared" si="26"/>
        <v>36213.759999999842</v>
      </c>
      <c r="Q849" s="4">
        <f t="shared" si="27"/>
        <v>1279.8399999998437</v>
      </c>
      <c r="R849" t="str">
        <f>IF( Table1[[#This Row],[Total Amount after sale]] &gt; 0,"PROFIT","LOSS")</f>
        <v>PROFIT</v>
      </c>
      <c r="S849" s="3">
        <f>(Table1[[#This Row],[Total Amount after sale]]/Table1[[#This Row],[Price after discount]])</f>
        <v>3.5341262547712506E-2</v>
      </c>
    </row>
    <row r="850" spans="1:19" x14ac:dyDescent="0.3">
      <c r="A850">
        <v>1024</v>
      </c>
      <c r="B850" s="1">
        <v>45241</v>
      </c>
      <c r="C850" s="1">
        <f>DATE(YEAR(Table1[[#This Row],[Sale_Date]]), MONTH(Table1[[#This Row],[Sale_Date]]), 1)</f>
        <v>45231</v>
      </c>
      <c r="D850" t="s">
        <v>38</v>
      </c>
      <c r="E850" t="s">
        <v>21</v>
      </c>
      <c r="F850" s="2">
        <v>6607.8</v>
      </c>
      <c r="G850">
        <v>21</v>
      </c>
      <c r="H850" t="s">
        <v>26</v>
      </c>
      <c r="I850" s="2">
        <v>622.01</v>
      </c>
      <c r="J850" s="2">
        <v>641.09</v>
      </c>
      <c r="K850" t="s">
        <v>17</v>
      </c>
      <c r="L850" s="5">
        <v>0</v>
      </c>
      <c r="M850" t="s">
        <v>27</v>
      </c>
      <c r="N850" t="s">
        <v>22</v>
      </c>
      <c r="O850" t="s">
        <v>41</v>
      </c>
      <c r="P850" s="4">
        <f t="shared" si="26"/>
        <v>13462.890000000001</v>
      </c>
      <c r="Q850" s="4">
        <f t="shared" si="27"/>
        <v>400.68000000000086</v>
      </c>
      <c r="R850" t="str">
        <f>IF( Table1[[#This Row],[Total Amount after sale]] &gt; 0,"PROFIT","LOSS")</f>
        <v>PROFIT</v>
      </c>
      <c r="S850" s="3">
        <f>(Table1[[#This Row],[Total Amount after sale]]/Table1[[#This Row],[Price after discount]])</f>
        <v>2.9761811914083888E-2</v>
      </c>
    </row>
    <row r="851" spans="1:19" x14ac:dyDescent="0.3">
      <c r="A851">
        <v>1080</v>
      </c>
      <c r="B851" s="1">
        <v>45241</v>
      </c>
      <c r="C851" s="1">
        <f>DATE(YEAR(Table1[[#This Row],[Sale_Date]]), MONTH(Table1[[#This Row],[Sale_Date]]), 1)</f>
        <v>45231</v>
      </c>
      <c r="D851" t="s">
        <v>42</v>
      </c>
      <c r="E851" t="s">
        <v>34</v>
      </c>
      <c r="F851" s="2">
        <v>3602.51</v>
      </c>
      <c r="G851">
        <v>32</v>
      </c>
      <c r="H851" t="s">
        <v>35</v>
      </c>
      <c r="I851" s="2">
        <v>3414.54</v>
      </c>
      <c r="J851" s="2">
        <v>3753.83</v>
      </c>
      <c r="K851" t="s">
        <v>30</v>
      </c>
      <c r="L851" s="5">
        <v>0.22</v>
      </c>
      <c r="M851" t="s">
        <v>18</v>
      </c>
      <c r="N851" t="s">
        <v>22</v>
      </c>
      <c r="O851" t="s">
        <v>52</v>
      </c>
      <c r="P851" s="4">
        <f t="shared" si="26"/>
        <v>93695.596799999999</v>
      </c>
      <c r="Q851" s="4">
        <f t="shared" si="27"/>
        <v>-15569.683199999999</v>
      </c>
      <c r="R851" t="str">
        <f>IF( Table1[[#This Row],[Total Amount after sale]] &gt; 0,"PROFIT","LOSS")</f>
        <v>LOSS</v>
      </c>
      <c r="S851" s="3">
        <f>(Table1[[#This Row],[Total Amount after sale]]/Table1[[#This Row],[Price after discount]])</f>
        <v>-0.16617305115452341</v>
      </c>
    </row>
    <row r="852" spans="1:19" x14ac:dyDescent="0.3">
      <c r="A852">
        <v>1001</v>
      </c>
      <c r="B852" s="1">
        <v>45242</v>
      </c>
      <c r="C852" s="1">
        <f>DATE(YEAR(Table1[[#This Row],[Sale_Date]]), MONTH(Table1[[#This Row],[Sale_Date]]), 1)</f>
        <v>45231</v>
      </c>
      <c r="D852" t="s">
        <v>42</v>
      </c>
      <c r="E852" t="s">
        <v>15</v>
      </c>
      <c r="F852" s="2">
        <v>715.81</v>
      </c>
      <c r="G852">
        <v>8</v>
      </c>
      <c r="H852" t="s">
        <v>35</v>
      </c>
      <c r="I852" s="2">
        <v>3657.91</v>
      </c>
      <c r="J852" s="2">
        <v>3729.27</v>
      </c>
      <c r="K852" t="s">
        <v>30</v>
      </c>
      <c r="L852" s="5">
        <v>0.09</v>
      </c>
      <c r="M852" t="s">
        <v>27</v>
      </c>
      <c r="N852" t="s">
        <v>22</v>
      </c>
      <c r="O852" t="s">
        <v>49</v>
      </c>
      <c r="P852" s="4">
        <f t="shared" si="26"/>
        <v>27149.085600000002</v>
      </c>
      <c r="Q852" s="4">
        <f t="shared" si="27"/>
        <v>-2114.1943999999967</v>
      </c>
      <c r="R852" t="str">
        <f>IF( Table1[[#This Row],[Total Amount after sale]] &gt; 0,"PROFIT","LOSS")</f>
        <v>LOSS</v>
      </c>
      <c r="S852" s="3">
        <f>(Table1[[#This Row],[Total Amount after sale]]/Table1[[#This Row],[Price after discount]])</f>
        <v>-7.7873503039822323E-2</v>
      </c>
    </row>
    <row r="853" spans="1:19" x14ac:dyDescent="0.3">
      <c r="A853">
        <v>1062</v>
      </c>
      <c r="B853" s="1">
        <v>45242</v>
      </c>
      <c r="C853" s="1">
        <f>DATE(YEAR(Table1[[#This Row],[Sale_Date]]), MONTH(Table1[[#This Row],[Sale_Date]]), 1)</f>
        <v>45231</v>
      </c>
      <c r="D853" t="s">
        <v>38</v>
      </c>
      <c r="E853" t="s">
        <v>25</v>
      </c>
      <c r="F853" s="2">
        <v>8681.0300000000007</v>
      </c>
      <c r="G853">
        <v>9</v>
      </c>
      <c r="H853" t="s">
        <v>35</v>
      </c>
      <c r="I853" s="2">
        <v>1468.05</v>
      </c>
      <c r="J853" s="2">
        <v>1838.21</v>
      </c>
      <c r="K853" t="s">
        <v>30</v>
      </c>
      <c r="L853" s="5">
        <v>0.15</v>
      </c>
      <c r="M853" t="s">
        <v>27</v>
      </c>
      <c r="N853" t="s">
        <v>22</v>
      </c>
      <c r="O853" t="s">
        <v>39</v>
      </c>
      <c r="P853" s="4">
        <f t="shared" si="26"/>
        <v>14062.306499999999</v>
      </c>
      <c r="Q853" s="4">
        <f t="shared" si="27"/>
        <v>849.85649999999987</v>
      </c>
      <c r="R853" t="str">
        <f>IF( Table1[[#This Row],[Total Amount after sale]] &gt; 0,"PROFIT","LOSS")</f>
        <v>PROFIT</v>
      </c>
      <c r="S853" s="3">
        <f>(Table1[[#This Row],[Total Amount after sale]]/Table1[[#This Row],[Price after discount]])</f>
        <v>6.043507158658503E-2</v>
      </c>
    </row>
    <row r="854" spans="1:19" x14ac:dyDescent="0.3">
      <c r="A854">
        <v>1070</v>
      </c>
      <c r="B854" s="1">
        <v>45242</v>
      </c>
      <c r="C854" s="1">
        <f>DATE(YEAR(Table1[[#This Row],[Sale_Date]]), MONTH(Table1[[#This Row],[Sale_Date]]), 1)</f>
        <v>45231</v>
      </c>
      <c r="D854" t="s">
        <v>14</v>
      </c>
      <c r="E854" t="s">
        <v>25</v>
      </c>
      <c r="F854" s="2">
        <v>7448.31</v>
      </c>
      <c r="G854">
        <v>9</v>
      </c>
      <c r="H854" t="s">
        <v>35</v>
      </c>
      <c r="I854" s="2">
        <v>310.24</v>
      </c>
      <c r="J854" s="2">
        <v>451.81</v>
      </c>
      <c r="K854" t="s">
        <v>17</v>
      </c>
      <c r="L854" s="5">
        <v>0.1</v>
      </c>
      <c r="M854" t="s">
        <v>18</v>
      </c>
      <c r="N854" t="s">
        <v>22</v>
      </c>
      <c r="O854" t="s">
        <v>32</v>
      </c>
      <c r="P854" s="4">
        <f t="shared" si="26"/>
        <v>3659.6610000000001</v>
      </c>
      <c r="Q854" s="4">
        <f t="shared" si="27"/>
        <v>867.50100000000009</v>
      </c>
      <c r="R854" t="str">
        <f>IF( Table1[[#This Row],[Total Amount after sale]] &gt; 0,"PROFIT","LOSS")</f>
        <v>PROFIT</v>
      </c>
      <c r="S854" s="3">
        <f>(Table1[[#This Row],[Total Amount after sale]]/Table1[[#This Row],[Price after discount]])</f>
        <v>0.23704408687034129</v>
      </c>
    </row>
    <row r="855" spans="1:19" x14ac:dyDescent="0.3">
      <c r="A855">
        <v>1005</v>
      </c>
      <c r="B855" s="1">
        <v>45242</v>
      </c>
      <c r="C855" s="1">
        <f>DATE(YEAR(Table1[[#This Row],[Sale_Date]]), MONTH(Table1[[#This Row],[Sale_Date]]), 1)</f>
        <v>45231</v>
      </c>
      <c r="D855" t="s">
        <v>38</v>
      </c>
      <c r="E855" t="s">
        <v>34</v>
      </c>
      <c r="F855" s="2">
        <v>2191.1999999999998</v>
      </c>
      <c r="G855">
        <v>28</v>
      </c>
      <c r="H855" t="s">
        <v>29</v>
      </c>
      <c r="I855" s="2">
        <v>3592.32</v>
      </c>
      <c r="J855" s="2">
        <v>3813.48</v>
      </c>
      <c r="K855" t="s">
        <v>30</v>
      </c>
      <c r="L855" s="5">
        <v>7.0000000000000007E-2</v>
      </c>
      <c r="M855" t="s">
        <v>31</v>
      </c>
      <c r="N855" t="s">
        <v>22</v>
      </c>
      <c r="O855" t="s">
        <v>48</v>
      </c>
      <c r="P855" s="4">
        <f t="shared" si="26"/>
        <v>99303.019199999995</v>
      </c>
      <c r="Q855" s="4">
        <f t="shared" si="27"/>
        <v>-1281.9408000000058</v>
      </c>
      <c r="R855" t="str">
        <f>IF( Table1[[#This Row],[Total Amount after sale]] &gt; 0,"PROFIT","LOSS")</f>
        <v>LOSS</v>
      </c>
      <c r="S855" s="3">
        <f>(Table1[[#This Row],[Total Amount after sale]]/Table1[[#This Row],[Price after discount]])</f>
        <v>-1.2909383927372129E-2</v>
      </c>
    </row>
    <row r="856" spans="1:19" x14ac:dyDescent="0.3">
      <c r="A856">
        <v>1050</v>
      </c>
      <c r="B856" s="1">
        <v>45243</v>
      </c>
      <c r="C856" s="1">
        <f>DATE(YEAR(Table1[[#This Row],[Sale_Date]]), MONTH(Table1[[#This Row],[Sale_Date]]), 1)</f>
        <v>45231</v>
      </c>
      <c r="D856" t="s">
        <v>42</v>
      </c>
      <c r="E856" t="s">
        <v>15</v>
      </c>
      <c r="F856" s="2">
        <v>4638.47</v>
      </c>
      <c r="G856">
        <v>28</v>
      </c>
      <c r="H856" t="s">
        <v>26</v>
      </c>
      <c r="I856" s="2">
        <v>1711.63</v>
      </c>
      <c r="J856" s="2">
        <v>1951.24</v>
      </c>
      <c r="K856" t="s">
        <v>30</v>
      </c>
      <c r="L856" s="5">
        <v>0.22</v>
      </c>
      <c r="M856" t="s">
        <v>18</v>
      </c>
      <c r="N856" t="s">
        <v>19</v>
      </c>
      <c r="O856" t="s">
        <v>49</v>
      </c>
      <c r="P856" s="4">
        <f t="shared" si="26"/>
        <v>42615.081600000005</v>
      </c>
      <c r="Q856" s="4">
        <f t="shared" si="27"/>
        <v>-5310.5584000000017</v>
      </c>
      <c r="R856" t="str">
        <f>IF( Table1[[#This Row],[Total Amount after sale]] &gt; 0,"PROFIT","LOSS")</f>
        <v>LOSS</v>
      </c>
      <c r="S856" s="3">
        <f>(Table1[[#This Row],[Total Amount after sale]]/Table1[[#This Row],[Price after discount]])</f>
        <v>-0.12461687742022301</v>
      </c>
    </row>
    <row r="857" spans="1:19" x14ac:dyDescent="0.3">
      <c r="A857">
        <v>1033</v>
      </c>
      <c r="B857" s="1">
        <v>45244</v>
      </c>
      <c r="C857" s="1">
        <f>DATE(YEAR(Table1[[#This Row],[Sale_Date]]), MONTH(Table1[[#This Row],[Sale_Date]]), 1)</f>
        <v>45231</v>
      </c>
      <c r="D857" t="s">
        <v>24</v>
      </c>
      <c r="E857" t="s">
        <v>25</v>
      </c>
      <c r="F857" s="2">
        <v>4011.8</v>
      </c>
      <c r="G857">
        <v>23</v>
      </c>
      <c r="H857" t="s">
        <v>16</v>
      </c>
      <c r="I857" s="2">
        <v>2981.5</v>
      </c>
      <c r="J857" s="2">
        <v>3360.4</v>
      </c>
      <c r="K857" t="s">
        <v>17</v>
      </c>
      <c r="L857" s="5">
        <v>0.22</v>
      </c>
      <c r="M857" t="s">
        <v>27</v>
      </c>
      <c r="N857" t="s">
        <v>22</v>
      </c>
      <c r="O857" t="s">
        <v>28</v>
      </c>
      <c r="P857" s="4">
        <f t="shared" si="26"/>
        <v>60285.576000000001</v>
      </c>
      <c r="Q857" s="4">
        <f t="shared" si="27"/>
        <v>-8288.9239999999991</v>
      </c>
      <c r="R857" t="str">
        <f>IF( Table1[[#This Row],[Total Amount after sale]] &gt; 0,"PROFIT","LOSS")</f>
        <v>LOSS</v>
      </c>
      <c r="S857" s="3">
        <f>(Table1[[#This Row],[Total Amount after sale]]/Table1[[#This Row],[Price after discount]])</f>
        <v>-0.137494315389804</v>
      </c>
    </row>
    <row r="858" spans="1:19" x14ac:dyDescent="0.3">
      <c r="A858">
        <v>1085</v>
      </c>
      <c r="B858" s="1">
        <v>45244</v>
      </c>
      <c r="C858" s="1">
        <f>DATE(YEAR(Table1[[#This Row],[Sale_Date]]), MONTH(Table1[[#This Row],[Sale_Date]]), 1)</f>
        <v>45231</v>
      </c>
      <c r="D858" t="s">
        <v>33</v>
      </c>
      <c r="E858" t="s">
        <v>25</v>
      </c>
      <c r="F858" s="2">
        <v>2038.75</v>
      </c>
      <c r="G858">
        <v>32</v>
      </c>
      <c r="H858" t="s">
        <v>16</v>
      </c>
      <c r="I858" s="2">
        <v>1074.93</v>
      </c>
      <c r="J858" s="2">
        <v>1492.48</v>
      </c>
      <c r="K858" t="s">
        <v>17</v>
      </c>
      <c r="L858" s="5">
        <v>0.04</v>
      </c>
      <c r="M858" t="s">
        <v>31</v>
      </c>
      <c r="N858" t="s">
        <v>22</v>
      </c>
      <c r="O858" t="s">
        <v>44</v>
      </c>
      <c r="P858" s="4">
        <f t="shared" si="26"/>
        <v>45848.9856</v>
      </c>
      <c r="Q858" s="4">
        <f t="shared" si="27"/>
        <v>11451.225599999998</v>
      </c>
      <c r="R858" t="str">
        <f>IF( Table1[[#This Row],[Total Amount after sale]] &gt; 0,"PROFIT","LOSS")</f>
        <v>PROFIT</v>
      </c>
      <c r="S858" s="3">
        <f>(Table1[[#This Row],[Total Amount after sale]]/Table1[[#This Row],[Price after discount]])</f>
        <v>0.2497596282697255</v>
      </c>
    </row>
    <row r="859" spans="1:19" x14ac:dyDescent="0.3">
      <c r="A859">
        <v>1012</v>
      </c>
      <c r="B859" s="1">
        <v>45244</v>
      </c>
      <c r="C859" s="1">
        <f>DATE(YEAR(Table1[[#This Row],[Sale_Date]]), MONTH(Table1[[#This Row],[Sale_Date]]), 1)</f>
        <v>45231</v>
      </c>
      <c r="D859" t="s">
        <v>38</v>
      </c>
      <c r="E859" t="s">
        <v>15</v>
      </c>
      <c r="F859" s="2">
        <v>519.98</v>
      </c>
      <c r="G859">
        <v>6</v>
      </c>
      <c r="H859" t="s">
        <v>29</v>
      </c>
      <c r="I859" s="2">
        <v>3609.42</v>
      </c>
      <c r="J859" s="2">
        <v>4082.62</v>
      </c>
      <c r="K859" t="s">
        <v>17</v>
      </c>
      <c r="L859" s="5">
        <v>0.3</v>
      </c>
      <c r="M859" t="s">
        <v>27</v>
      </c>
      <c r="N859" t="s">
        <v>22</v>
      </c>
      <c r="O859" t="s">
        <v>40</v>
      </c>
      <c r="P859" s="4">
        <f t="shared" si="26"/>
        <v>17147.004000000001</v>
      </c>
      <c r="Q859" s="4">
        <f t="shared" si="27"/>
        <v>-4509.5160000000014</v>
      </c>
      <c r="R859" t="str">
        <f>IF( Table1[[#This Row],[Total Amount after sale]] &gt; 0,"PROFIT","LOSS")</f>
        <v>LOSS</v>
      </c>
      <c r="S859" s="3">
        <f>(Table1[[#This Row],[Total Amount after sale]]/Table1[[#This Row],[Price after discount]])</f>
        <v>-0.26299148236041708</v>
      </c>
    </row>
    <row r="860" spans="1:19" x14ac:dyDescent="0.3">
      <c r="A860">
        <v>1092</v>
      </c>
      <c r="B860" s="1">
        <v>45244</v>
      </c>
      <c r="C860" s="1">
        <f>DATE(YEAR(Table1[[#This Row],[Sale_Date]]), MONTH(Table1[[#This Row],[Sale_Date]]), 1)</f>
        <v>45231</v>
      </c>
      <c r="D860" t="s">
        <v>38</v>
      </c>
      <c r="E860" t="s">
        <v>34</v>
      </c>
      <c r="F860" s="2">
        <v>6528.29</v>
      </c>
      <c r="G860">
        <v>28</v>
      </c>
      <c r="H860" t="s">
        <v>29</v>
      </c>
      <c r="I860" s="2">
        <v>3936.69</v>
      </c>
      <c r="J860" s="2">
        <v>4362.51</v>
      </c>
      <c r="K860" t="s">
        <v>17</v>
      </c>
      <c r="L860" s="5">
        <v>7.0000000000000007E-2</v>
      </c>
      <c r="M860" t="s">
        <v>31</v>
      </c>
      <c r="N860" t="s">
        <v>22</v>
      </c>
      <c r="O860" t="s">
        <v>48</v>
      </c>
      <c r="P860" s="4">
        <f t="shared" si="26"/>
        <v>113599.7604</v>
      </c>
      <c r="Q860" s="4">
        <f t="shared" si="27"/>
        <v>3372.4403999999904</v>
      </c>
      <c r="R860" t="str">
        <f>IF( Table1[[#This Row],[Total Amount after sale]] &gt; 0,"PROFIT","LOSS")</f>
        <v>PROFIT</v>
      </c>
      <c r="S860" s="3">
        <f>(Table1[[#This Row],[Total Amount after sale]]/Table1[[#This Row],[Price after discount]])</f>
        <v>2.9687037966675062E-2</v>
      </c>
    </row>
    <row r="861" spans="1:19" x14ac:dyDescent="0.3">
      <c r="A861">
        <v>1068</v>
      </c>
      <c r="B861" s="1">
        <v>45244</v>
      </c>
      <c r="C861" s="1">
        <f>DATE(YEAR(Table1[[#This Row],[Sale_Date]]), MONTH(Table1[[#This Row],[Sale_Date]]), 1)</f>
        <v>45231</v>
      </c>
      <c r="D861" t="s">
        <v>33</v>
      </c>
      <c r="E861" t="s">
        <v>21</v>
      </c>
      <c r="F861" s="2">
        <v>3607.29</v>
      </c>
      <c r="G861">
        <v>42</v>
      </c>
      <c r="H861" t="s">
        <v>29</v>
      </c>
      <c r="I861" s="2">
        <v>1218.18</v>
      </c>
      <c r="J861" s="2">
        <v>1566.36</v>
      </c>
      <c r="K861" t="s">
        <v>17</v>
      </c>
      <c r="L861" s="5">
        <v>0.03</v>
      </c>
      <c r="M861" t="s">
        <v>31</v>
      </c>
      <c r="N861" t="s">
        <v>22</v>
      </c>
      <c r="O861" t="s">
        <v>37</v>
      </c>
      <c r="P861" s="4">
        <f t="shared" si="26"/>
        <v>63813.506399999991</v>
      </c>
      <c r="Q861" s="4">
        <f t="shared" si="27"/>
        <v>12649.946399999992</v>
      </c>
      <c r="R861" t="str">
        <f>IF( Table1[[#This Row],[Total Amount after sale]] &gt; 0,"PROFIT","LOSS")</f>
        <v>PROFIT</v>
      </c>
      <c r="S861" s="3">
        <f>(Table1[[#This Row],[Total Amount after sale]]/Table1[[#This Row],[Price after discount]])</f>
        <v>0.19823305619200379</v>
      </c>
    </row>
    <row r="862" spans="1:19" x14ac:dyDescent="0.3">
      <c r="A862">
        <v>1090</v>
      </c>
      <c r="B862" s="1">
        <v>45244</v>
      </c>
      <c r="C862" s="1">
        <f>DATE(YEAR(Table1[[#This Row],[Sale_Date]]), MONTH(Table1[[#This Row],[Sale_Date]]), 1)</f>
        <v>45231</v>
      </c>
      <c r="D862" t="s">
        <v>14</v>
      </c>
      <c r="E862" t="s">
        <v>34</v>
      </c>
      <c r="F862" s="2">
        <v>6575.91</v>
      </c>
      <c r="G862">
        <v>1</v>
      </c>
      <c r="H862" t="s">
        <v>29</v>
      </c>
      <c r="I862" s="2">
        <v>60.28</v>
      </c>
      <c r="J862" s="2">
        <v>260.73</v>
      </c>
      <c r="K862" t="s">
        <v>17</v>
      </c>
      <c r="L862" s="5">
        <v>0.17</v>
      </c>
      <c r="M862" t="s">
        <v>18</v>
      </c>
      <c r="N862" t="s">
        <v>19</v>
      </c>
      <c r="O862" t="s">
        <v>46</v>
      </c>
      <c r="P862" s="4">
        <f t="shared" si="26"/>
        <v>216.4059</v>
      </c>
      <c r="Q862" s="4">
        <f t="shared" si="27"/>
        <v>156.1259</v>
      </c>
      <c r="R862" t="str">
        <f>IF( Table1[[#This Row],[Total Amount after sale]] &gt; 0,"PROFIT","LOSS")</f>
        <v>PROFIT</v>
      </c>
      <c r="S862" s="3">
        <f>(Table1[[#This Row],[Total Amount after sale]]/Table1[[#This Row],[Price after discount]])</f>
        <v>0.72144936898670509</v>
      </c>
    </row>
    <row r="863" spans="1:19" x14ac:dyDescent="0.3">
      <c r="A863">
        <v>1001</v>
      </c>
      <c r="B863" s="1">
        <v>45244</v>
      </c>
      <c r="C863" s="1">
        <f>DATE(YEAR(Table1[[#This Row],[Sale_Date]]), MONTH(Table1[[#This Row],[Sale_Date]]), 1)</f>
        <v>45231</v>
      </c>
      <c r="D863" t="s">
        <v>24</v>
      </c>
      <c r="E863" t="s">
        <v>15</v>
      </c>
      <c r="F863" s="2">
        <v>4944.99</v>
      </c>
      <c r="G863">
        <v>36</v>
      </c>
      <c r="H863" t="s">
        <v>16</v>
      </c>
      <c r="I863" s="2">
        <v>666.84</v>
      </c>
      <c r="J863" s="2">
        <v>682.24</v>
      </c>
      <c r="K863" t="s">
        <v>30</v>
      </c>
      <c r="L863" s="5">
        <v>0.16</v>
      </c>
      <c r="M863" t="s">
        <v>27</v>
      </c>
      <c r="N863" t="s">
        <v>22</v>
      </c>
      <c r="O863" t="s">
        <v>45</v>
      </c>
      <c r="P863" s="4">
        <f t="shared" si="26"/>
        <v>20630.937599999997</v>
      </c>
      <c r="Q863" s="4">
        <f t="shared" si="27"/>
        <v>-3375.3024000000019</v>
      </c>
      <c r="R863" t="str">
        <f>IF( Table1[[#This Row],[Total Amount after sale]] &gt; 0,"PROFIT","LOSS")</f>
        <v>LOSS</v>
      </c>
      <c r="S863" s="3">
        <f>(Table1[[#This Row],[Total Amount after sale]]/Table1[[#This Row],[Price after discount]])</f>
        <v>-0.16360392656124376</v>
      </c>
    </row>
    <row r="864" spans="1:19" x14ac:dyDescent="0.3">
      <c r="A864">
        <v>1012</v>
      </c>
      <c r="B864" s="1">
        <v>45244</v>
      </c>
      <c r="C864" s="1">
        <f>DATE(YEAR(Table1[[#This Row],[Sale_Date]]), MONTH(Table1[[#This Row],[Sale_Date]]), 1)</f>
        <v>45231</v>
      </c>
      <c r="D864" t="s">
        <v>24</v>
      </c>
      <c r="E864" t="s">
        <v>15</v>
      </c>
      <c r="F864" s="2">
        <v>4976.43</v>
      </c>
      <c r="G864">
        <v>14</v>
      </c>
      <c r="H864" t="s">
        <v>35</v>
      </c>
      <c r="I864" s="2">
        <v>1185.5</v>
      </c>
      <c r="J864" s="2">
        <v>1271.45</v>
      </c>
      <c r="K864" t="s">
        <v>17</v>
      </c>
      <c r="L864" s="5">
        <v>0.03</v>
      </c>
      <c r="M864" t="s">
        <v>27</v>
      </c>
      <c r="N864" t="s">
        <v>22</v>
      </c>
      <c r="O864" t="s">
        <v>45</v>
      </c>
      <c r="P864" s="4">
        <f t="shared" si="26"/>
        <v>17266.290999999997</v>
      </c>
      <c r="Q864" s="4">
        <f t="shared" si="27"/>
        <v>669.2909999999988</v>
      </c>
      <c r="R864" t="str">
        <f>IF( Table1[[#This Row],[Total Amount after sale]] &gt; 0,"PROFIT","LOSS")</f>
        <v>PROFIT</v>
      </c>
      <c r="S864" s="3">
        <f>(Table1[[#This Row],[Total Amount after sale]]/Table1[[#This Row],[Price after discount]])</f>
        <v>3.8762870381369045E-2</v>
      </c>
    </row>
    <row r="865" spans="1:19" x14ac:dyDescent="0.3">
      <c r="A865">
        <v>1100</v>
      </c>
      <c r="B865" s="1">
        <v>45245</v>
      </c>
      <c r="C865" s="1">
        <f>DATE(YEAR(Table1[[#This Row],[Sale_Date]]), MONTH(Table1[[#This Row],[Sale_Date]]), 1)</f>
        <v>45231</v>
      </c>
      <c r="D865" t="s">
        <v>38</v>
      </c>
      <c r="E865" t="s">
        <v>34</v>
      </c>
      <c r="F865" s="2">
        <v>672.66</v>
      </c>
      <c r="G865">
        <v>2</v>
      </c>
      <c r="H865" t="s">
        <v>16</v>
      </c>
      <c r="I865" s="2">
        <v>1036.76</v>
      </c>
      <c r="J865" s="2">
        <v>1189.3499999999999</v>
      </c>
      <c r="K865" t="s">
        <v>30</v>
      </c>
      <c r="L865" s="5">
        <v>0.27</v>
      </c>
      <c r="M865" t="s">
        <v>27</v>
      </c>
      <c r="N865" t="s">
        <v>19</v>
      </c>
      <c r="O865" t="s">
        <v>48</v>
      </c>
      <c r="P865" s="4">
        <f t="shared" si="26"/>
        <v>1736.4509999999998</v>
      </c>
      <c r="Q865" s="4">
        <f t="shared" si="27"/>
        <v>-337.06900000000019</v>
      </c>
      <c r="R865" t="str">
        <f>IF( Table1[[#This Row],[Total Amount after sale]] &gt; 0,"PROFIT","LOSS")</f>
        <v>LOSS</v>
      </c>
      <c r="S865" s="3">
        <f>(Table1[[#This Row],[Total Amount after sale]]/Table1[[#This Row],[Price after discount]])</f>
        <v>-0.19411374118820526</v>
      </c>
    </row>
    <row r="866" spans="1:19" x14ac:dyDescent="0.3">
      <c r="A866">
        <v>1032</v>
      </c>
      <c r="B866" s="1">
        <v>45245</v>
      </c>
      <c r="C866" s="1">
        <f>DATE(YEAR(Table1[[#This Row],[Sale_Date]]), MONTH(Table1[[#This Row],[Sale_Date]]), 1)</f>
        <v>45231</v>
      </c>
      <c r="D866" t="s">
        <v>42</v>
      </c>
      <c r="E866" t="s">
        <v>21</v>
      </c>
      <c r="F866" s="2">
        <v>9413.77</v>
      </c>
      <c r="G866">
        <v>1</v>
      </c>
      <c r="H866" t="s">
        <v>26</v>
      </c>
      <c r="I866" s="2">
        <v>651</v>
      </c>
      <c r="J866" s="2">
        <v>865.76</v>
      </c>
      <c r="K866" t="s">
        <v>17</v>
      </c>
      <c r="L866" s="5">
        <v>0.09</v>
      </c>
      <c r="M866" t="s">
        <v>27</v>
      </c>
      <c r="N866" t="s">
        <v>22</v>
      </c>
      <c r="O866" t="s">
        <v>51</v>
      </c>
      <c r="P866" s="4">
        <f t="shared" si="26"/>
        <v>787.84159999999997</v>
      </c>
      <c r="Q866" s="4">
        <f t="shared" si="27"/>
        <v>136.84159999999997</v>
      </c>
      <c r="R866" t="str">
        <f>IF( Table1[[#This Row],[Total Amount after sale]] &gt; 0,"PROFIT","LOSS")</f>
        <v>PROFIT</v>
      </c>
      <c r="S866" s="3">
        <f>(Table1[[#This Row],[Total Amount after sale]]/Table1[[#This Row],[Price after discount]])</f>
        <v>0.17369176748219436</v>
      </c>
    </row>
    <row r="867" spans="1:19" x14ac:dyDescent="0.3">
      <c r="A867">
        <v>1036</v>
      </c>
      <c r="B867" s="1">
        <v>45245</v>
      </c>
      <c r="C867" s="1">
        <f>DATE(YEAR(Table1[[#This Row],[Sale_Date]]), MONTH(Table1[[#This Row],[Sale_Date]]), 1)</f>
        <v>45231</v>
      </c>
      <c r="D867" t="s">
        <v>14</v>
      </c>
      <c r="E867" t="s">
        <v>21</v>
      </c>
      <c r="F867" s="2">
        <v>7316.91</v>
      </c>
      <c r="G867">
        <v>19</v>
      </c>
      <c r="H867" t="s">
        <v>16</v>
      </c>
      <c r="I867" s="2">
        <v>2844.97</v>
      </c>
      <c r="J867" s="2">
        <v>3215</v>
      </c>
      <c r="K867" t="s">
        <v>17</v>
      </c>
      <c r="L867" s="5">
        <v>0.09</v>
      </c>
      <c r="M867" t="s">
        <v>31</v>
      </c>
      <c r="N867" t="s">
        <v>22</v>
      </c>
      <c r="O867" t="s">
        <v>23</v>
      </c>
      <c r="P867" s="4">
        <f t="shared" si="26"/>
        <v>55587.35</v>
      </c>
      <c r="Q867" s="4">
        <f t="shared" si="27"/>
        <v>1532.9200000000055</v>
      </c>
      <c r="R867" t="str">
        <f>IF( Table1[[#This Row],[Total Amount after sale]] &gt; 0,"PROFIT","LOSS")</f>
        <v>PROFIT</v>
      </c>
      <c r="S867" s="3">
        <f>(Table1[[#This Row],[Total Amount after sale]]/Table1[[#This Row],[Price after discount]])</f>
        <v>2.7576777810059402E-2</v>
      </c>
    </row>
    <row r="868" spans="1:19" x14ac:dyDescent="0.3">
      <c r="A868">
        <v>1030</v>
      </c>
      <c r="B868" s="1">
        <v>45245</v>
      </c>
      <c r="C868" s="1">
        <f>DATE(YEAR(Table1[[#This Row],[Sale_Date]]), MONTH(Table1[[#This Row],[Sale_Date]]), 1)</f>
        <v>45231</v>
      </c>
      <c r="D868" t="s">
        <v>38</v>
      </c>
      <c r="E868" t="s">
        <v>34</v>
      </c>
      <c r="F868" s="2">
        <v>6951.53</v>
      </c>
      <c r="G868">
        <v>24</v>
      </c>
      <c r="H868" t="s">
        <v>29</v>
      </c>
      <c r="I868" s="2">
        <v>1370.52</v>
      </c>
      <c r="J868" s="2">
        <v>1482.58</v>
      </c>
      <c r="K868" t="s">
        <v>17</v>
      </c>
      <c r="L868" s="5">
        <v>0.2</v>
      </c>
      <c r="M868" t="s">
        <v>31</v>
      </c>
      <c r="N868" t="s">
        <v>22</v>
      </c>
      <c r="O868" t="s">
        <v>48</v>
      </c>
      <c r="P868" s="4">
        <f t="shared" si="26"/>
        <v>28465.536</v>
      </c>
      <c r="Q868" s="4">
        <f t="shared" si="27"/>
        <v>-4426.9439999999977</v>
      </c>
      <c r="R868" t="str">
        <f>IF( Table1[[#This Row],[Total Amount after sale]] &gt; 0,"PROFIT","LOSS")</f>
        <v>LOSS</v>
      </c>
      <c r="S868" s="3">
        <f>(Table1[[#This Row],[Total Amount after sale]]/Table1[[#This Row],[Price after discount]])</f>
        <v>-0.15551943234091914</v>
      </c>
    </row>
    <row r="869" spans="1:19" x14ac:dyDescent="0.3">
      <c r="A869">
        <v>1092</v>
      </c>
      <c r="B869" s="1">
        <v>45245</v>
      </c>
      <c r="C869" s="1">
        <f>DATE(YEAR(Table1[[#This Row],[Sale_Date]]), MONTH(Table1[[#This Row],[Sale_Date]]), 1)</f>
        <v>45231</v>
      </c>
      <c r="D869" t="s">
        <v>24</v>
      </c>
      <c r="E869" t="s">
        <v>34</v>
      </c>
      <c r="F869" s="2">
        <v>499.47</v>
      </c>
      <c r="G869">
        <v>47</v>
      </c>
      <c r="H869" t="s">
        <v>35</v>
      </c>
      <c r="I869" s="2">
        <v>3034.32</v>
      </c>
      <c r="J869" s="2">
        <v>3375.79</v>
      </c>
      <c r="K869" t="s">
        <v>30</v>
      </c>
      <c r="L869" s="5">
        <v>0.28000000000000003</v>
      </c>
      <c r="M869" t="s">
        <v>31</v>
      </c>
      <c r="N869" t="s">
        <v>19</v>
      </c>
      <c r="O869" t="s">
        <v>50</v>
      </c>
      <c r="P869" s="4">
        <f t="shared" si="26"/>
        <v>114236.73360000001</v>
      </c>
      <c r="Q869" s="4">
        <f t="shared" si="27"/>
        <v>-28376.306400000009</v>
      </c>
      <c r="R869" t="str">
        <f>IF( Table1[[#This Row],[Total Amount after sale]] &gt; 0,"PROFIT","LOSS")</f>
        <v>LOSS</v>
      </c>
      <c r="S869" s="3">
        <f>(Table1[[#This Row],[Total Amount after sale]]/Table1[[#This Row],[Price after discount]])</f>
        <v>-0.24839914015188549</v>
      </c>
    </row>
    <row r="870" spans="1:19" x14ac:dyDescent="0.3">
      <c r="A870">
        <v>1051</v>
      </c>
      <c r="B870" s="1">
        <v>45245</v>
      </c>
      <c r="C870" s="1">
        <f>DATE(YEAR(Table1[[#This Row],[Sale_Date]]), MONTH(Table1[[#This Row],[Sale_Date]]), 1)</f>
        <v>45231</v>
      </c>
      <c r="D870" t="s">
        <v>42</v>
      </c>
      <c r="E870" t="s">
        <v>15</v>
      </c>
      <c r="F870" s="2">
        <v>4703.59</v>
      </c>
      <c r="G870">
        <v>23</v>
      </c>
      <c r="H870" t="s">
        <v>35</v>
      </c>
      <c r="I870" s="2">
        <v>1676.42</v>
      </c>
      <c r="J870" s="2">
        <v>2082.52</v>
      </c>
      <c r="K870" t="s">
        <v>30</v>
      </c>
      <c r="L870" s="5">
        <v>0.15</v>
      </c>
      <c r="M870" t="s">
        <v>27</v>
      </c>
      <c r="N870" t="s">
        <v>22</v>
      </c>
      <c r="O870" t="s">
        <v>49</v>
      </c>
      <c r="P870" s="4">
        <f t="shared" si="26"/>
        <v>40713.265999999996</v>
      </c>
      <c r="Q870" s="4">
        <f t="shared" si="27"/>
        <v>2155.6059999999943</v>
      </c>
      <c r="R870" t="str">
        <f>IF( Table1[[#This Row],[Total Amount after sale]] &gt; 0,"PROFIT","LOSS")</f>
        <v>PROFIT</v>
      </c>
      <c r="S870" s="3">
        <f>(Table1[[#This Row],[Total Amount after sale]]/Table1[[#This Row],[Price after discount]])</f>
        <v>5.2946034837882926E-2</v>
      </c>
    </row>
    <row r="871" spans="1:19" x14ac:dyDescent="0.3">
      <c r="A871">
        <v>1088</v>
      </c>
      <c r="B871" s="1">
        <v>45246</v>
      </c>
      <c r="C871" s="1">
        <f>DATE(YEAR(Table1[[#This Row],[Sale_Date]]), MONTH(Table1[[#This Row],[Sale_Date]]), 1)</f>
        <v>45231</v>
      </c>
      <c r="D871" t="s">
        <v>38</v>
      </c>
      <c r="E871" t="s">
        <v>15</v>
      </c>
      <c r="F871" s="2">
        <v>8518.4500000000007</v>
      </c>
      <c r="G871">
        <v>13</v>
      </c>
      <c r="H871" t="s">
        <v>16</v>
      </c>
      <c r="I871" s="2">
        <v>2440.11</v>
      </c>
      <c r="J871" s="2">
        <v>2517.6</v>
      </c>
      <c r="K871" t="s">
        <v>30</v>
      </c>
      <c r="L871" s="5">
        <v>0.23</v>
      </c>
      <c r="M871" t="s">
        <v>27</v>
      </c>
      <c r="N871" t="s">
        <v>22</v>
      </c>
      <c r="O871" t="s">
        <v>40</v>
      </c>
      <c r="P871" s="4">
        <f t="shared" si="26"/>
        <v>25201.175999999999</v>
      </c>
      <c r="Q871" s="4">
        <f t="shared" si="27"/>
        <v>-6520.2540000000026</v>
      </c>
      <c r="R871" t="str">
        <f>IF( Table1[[#This Row],[Total Amount after sale]] &gt; 0,"PROFIT","LOSS")</f>
        <v>LOSS</v>
      </c>
      <c r="S871" s="3">
        <f>(Table1[[#This Row],[Total Amount after sale]]/Table1[[#This Row],[Price after discount]])</f>
        <v>-0.25872816411424621</v>
      </c>
    </row>
    <row r="872" spans="1:19" x14ac:dyDescent="0.3">
      <c r="A872">
        <v>1078</v>
      </c>
      <c r="B872" s="1">
        <v>45246</v>
      </c>
      <c r="C872" s="1">
        <f>DATE(YEAR(Table1[[#This Row],[Sale_Date]]), MONTH(Table1[[#This Row],[Sale_Date]]), 1)</f>
        <v>45231</v>
      </c>
      <c r="D872" t="s">
        <v>24</v>
      </c>
      <c r="E872" t="s">
        <v>34</v>
      </c>
      <c r="F872" s="2">
        <v>113.4</v>
      </c>
      <c r="G872">
        <v>8</v>
      </c>
      <c r="H872" t="s">
        <v>16</v>
      </c>
      <c r="I872" s="2">
        <v>3459.61</v>
      </c>
      <c r="J872" s="2">
        <v>3657.23</v>
      </c>
      <c r="K872" t="s">
        <v>17</v>
      </c>
      <c r="L872" s="5">
        <v>0.03</v>
      </c>
      <c r="M872" t="s">
        <v>27</v>
      </c>
      <c r="N872" t="s">
        <v>19</v>
      </c>
      <c r="O872" t="s">
        <v>50</v>
      </c>
      <c r="P872" s="4">
        <f t="shared" si="26"/>
        <v>28380.104800000001</v>
      </c>
      <c r="Q872" s="4">
        <f t="shared" si="27"/>
        <v>703.22479999999996</v>
      </c>
      <c r="R872" t="str">
        <f>IF( Table1[[#This Row],[Total Amount after sale]] &gt; 0,"PROFIT","LOSS")</f>
        <v>PROFIT</v>
      </c>
      <c r="S872" s="3">
        <f>(Table1[[#This Row],[Total Amount after sale]]/Table1[[#This Row],[Price after discount]])</f>
        <v>2.4778795038135303E-2</v>
      </c>
    </row>
    <row r="873" spans="1:19" x14ac:dyDescent="0.3">
      <c r="A873">
        <v>1041</v>
      </c>
      <c r="B873" s="1">
        <v>45246</v>
      </c>
      <c r="C873" s="1">
        <f>DATE(YEAR(Table1[[#This Row],[Sale_Date]]), MONTH(Table1[[#This Row],[Sale_Date]]), 1)</f>
        <v>45231</v>
      </c>
      <c r="D873" t="s">
        <v>24</v>
      </c>
      <c r="E873" t="s">
        <v>25</v>
      </c>
      <c r="F873" s="2">
        <v>3942.84</v>
      </c>
      <c r="G873">
        <v>40</v>
      </c>
      <c r="H873" t="s">
        <v>26</v>
      </c>
      <c r="I873" s="2">
        <v>601.86</v>
      </c>
      <c r="J873" s="2">
        <v>1067.53</v>
      </c>
      <c r="K873" t="s">
        <v>30</v>
      </c>
      <c r="L873" s="5">
        <v>0.18</v>
      </c>
      <c r="M873" t="s">
        <v>18</v>
      </c>
      <c r="N873" t="s">
        <v>19</v>
      </c>
      <c r="O873" t="s">
        <v>28</v>
      </c>
      <c r="P873" s="4">
        <f t="shared" si="26"/>
        <v>35014.984000000004</v>
      </c>
      <c r="Q873" s="4">
        <f t="shared" si="27"/>
        <v>10940.584000000003</v>
      </c>
      <c r="R873" t="str">
        <f>IF( Table1[[#This Row],[Total Amount after sale]] &gt; 0,"PROFIT","LOSS")</f>
        <v>PROFIT</v>
      </c>
      <c r="S873" s="3">
        <f>(Table1[[#This Row],[Total Amount after sale]]/Table1[[#This Row],[Price after discount]])</f>
        <v>0.31245434811565248</v>
      </c>
    </row>
    <row r="874" spans="1:19" x14ac:dyDescent="0.3">
      <c r="A874">
        <v>1015</v>
      </c>
      <c r="B874" s="1">
        <v>45246</v>
      </c>
      <c r="C874" s="1">
        <f>DATE(YEAR(Table1[[#This Row],[Sale_Date]]), MONTH(Table1[[#This Row],[Sale_Date]]), 1)</f>
        <v>45231</v>
      </c>
      <c r="D874" t="s">
        <v>38</v>
      </c>
      <c r="E874" t="s">
        <v>34</v>
      </c>
      <c r="F874" s="2">
        <v>2673.06</v>
      </c>
      <c r="G874">
        <v>1</v>
      </c>
      <c r="H874" t="s">
        <v>16</v>
      </c>
      <c r="I874" s="2">
        <v>2928.74</v>
      </c>
      <c r="J874" s="2">
        <v>3027.74</v>
      </c>
      <c r="K874" t="s">
        <v>30</v>
      </c>
      <c r="L874" s="5">
        <v>0.15</v>
      </c>
      <c r="M874" t="s">
        <v>27</v>
      </c>
      <c r="N874" t="s">
        <v>22</v>
      </c>
      <c r="O874" t="s">
        <v>48</v>
      </c>
      <c r="P874" s="4">
        <f t="shared" si="26"/>
        <v>2573.5789999999997</v>
      </c>
      <c r="Q874" s="4">
        <f t="shared" si="27"/>
        <v>-355.16100000000006</v>
      </c>
      <c r="R874" t="str">
        <f>IF( Table1[[#This Row],[Total Amount after sale]] &gt; 0,"PROFIT","LOSS")</f>
        <v>LOSS</v>
      </c>
      <c r="S874" s="3">
        <f>(Table1[[#This Row],[Total Amount after sale]]/Table1[[#This Row],[Price after discount]])</f>
        <v>-0.1380027580268568</v>
      </c>
    </row>
    <row r="875" spans="1:19" x14ac:dyDescent="0.3">
      <c r="A875">
        <v>1073</v>
      </c>
      <c r="B875" s="1">
        <v>45246</v>
      </c>
      <c r="C875" s="1">
        <f>DATE(YEAR(Table1[[#This Row],[Sale_Date]]), MONTH(Table1[[#This Row],[Sale_Date]]), 1)</f>
        <v>45231</v>
      </c>
      <c r="D875" t="s">
        <v>24</v>
      </c>
      <c r="E875" t="s">
        <v>25</v>
      </c>
      <c r="F875" s="2">
        <v>7026.43</v>
      </c>
      <c r="G875">
        <v>48</v>
      </c>
      <c r="H875" t="s">
        <v>29</v>
      </c>
      <c r="I875" s="2">
        <v>2658.9</v>
      </c>
      <c r="J875" s="2">
        <v>2838.27</v>
      </c>
      <c r="K875" t="s">
        <v>30</v>
      </c>
      <c r="L875" s="5">
        <v>0.25</v>
      </c>
      <c r="M875" t="s">
        <v>31</v>
      </c>
      <c r="N875" t="s">
        <v>19</v>
      </c>
      <c r="O875" t="s">
        <v>28</v>
      </c>
      <c r="P875" s="4">
        <f t="shared" si="26"/>
        <v>102177.72</v>
      </c>
      <c r="Q875" s="4">
        <f t="shared" si="27"/>
        <v>-25449.48000000001</v>
      </c>
      <c r="R875" t="str">
        <f>IF( Table1[[#This Row],[Total Amount after sale]] &gt; 0,"PROFIT","LOSS")</f>
        <v>LOSS</v>
      </c>
      <c r="S875" s="3">
        <f>(Table1[[#This Row],[Total Amount after sale]]/Table1[[#This Row],[Price after discount]])</f>
        <v>-0.24907073675161287</v>
      </c>
    </row>
    <row r="876" spans="1:19" x14ac:dyDescent="0.3">
      <c r="A876">
        <v>1051</v>
      </c>
      <c r="B876" s="1">
        <v>45246</v>
      </c>
      <c r="C876" s="1">
        <f>DATE(YEAR(Table1[[#This Row],[Sale_Date]]), MONTH(Table1[[#This Row],[Sale_Date]]), 1)</f>
        <v>45231</v>
      </c>
      <c r="D876" t="s">
        <v>14</v>
      </c>
      <c r="E876" t="s">
        <v>21</v>
      </c>
      <c r="F876" s="2">
        <v>803.25</v>
      </c>
      <c r="G876">
        <v>31</v>
      </c>
      <c r="H876" t="s">
        <v>16</v>
      </c>
      <c r="I876" s="2">
        <v>144.88</v>
      </c>
      <c r="J876" s="2">
        <v>175.29</v>
      </c>
      <c r="K876" t="s">
        <v>30</v>
      </c>
      <c r="L876" s="5">
        <v>7.0000000000000007E-2</v>
      </c>
      <c r="M876" t="s">
        <v>27</v>
      </c>
      <c r="N876" t="s">
        <v>19</v>
      </c>
      <c r="O876" t="s">
        <v>23</v>
      </c>
      <c r="P876" s="4">
        <f t="shared" si="26"/>
        <v>5053.6106999999993</v>
      </c>
      <c r="Q876" s="4">
        <f t="shared" si="27"/>
        <v>562.3306999999993</v>
      </c>
      <c r="R876" t="str">
        <f>IF( Table1[[#This Row],[Total Amount after sale]] &gt; 0,"PROFIT","LOSS")</f>
        <v>PROFIT</v>
      </c>
      <c r="S876" s="3">
        <f>(Table1[[#This Row],[Total Amount after sale]]/Table1[[#This Row],[Price after discount]])</f>
        <v>0.11127305472896822</v>
      </c>
    </row>
    <row r="877" spans="1:19" x14ac:dyDescent="0.3">
      <c r="A877">
        <v>1062</v>
      </c>
      <c r="B877" s="1">
        <v>45247</v>
      </c>
      <c r="C877" s="1">
        <f>DATE(YEAR(Table1[[#This Row],[Sale_Date]]), MONTH(Table1[[#This Row],[Sale_Date]]), 1)</f>
        <v>45231</v>
      </c>
      <c r="D877" t="s">
        <v>33</v>
      </c>
      <c r="E877" t="s">
        <v>15</v>
      </c>
      <c r="F877" s="2">
        <v>4790.72</v>
      </c>
      <c r="G877">
        <v>28</v>
      </c>
      <c r="H877" t="s">
        <v>29</v>
      </c>
      <c r="I877" s="2">
        <v>2094.88</v>
      </c>
      <c r="J877" s="2">
        <v>2168.91</v>
      </c>
      <c r="K877" t="s">
        <v>17</v>
      </c>
      <c r="L877" s="5">
        <v>0.08</v>
      </c>
      <c r="M877" t="s">
        <v>18</v>
      </c>
      <c r="N877" t="s">
        <v>22</v>
      </c>
      <c r="O877" t="s">
        <v>53</v>
      </c>
      <c r="P877" s="4">
        <f t="shared" si="26"/>
        <v>55871.121599999999</v>
      </c>
      <c r="Q877" s="4">
        <f t="shared" si="27"/>
        <v>-2785.5184000000063</v>
      </c>
      <c r="R877" t="str">
        <f>IF( Table1[[#This Row],[Total Amount after sale]] &gt; 0,"PROFIT","LOSS")</f>
        <v>LOSS</v>
      </c>
      <c r="S877" s="3">
        <f>(Table1[[#This Row],[Total Amount after sale]]/Table1[[#This Row],[Price after discount]])</f>
        <v>-4.9856138918106245E-2</v>
      </c>
    </row>
    <row r="878" spans="1:19" x14ac:dyDescent="0.3">
      <c r="A878">
        <v>1100</v>
      </c>
      <c r="B878" s="1">
        <v>45247</v>
      </c>
      <c r="C878" s="1">
        <f>DATE(YEAR(Table1[[#This Row],[Sale_Date]]), MONTH(Table1[[#This Row],[Sale_Date]]), 1)</f>
        <v>45231</v>
      </c>
      <c r="D878" t="s">
        <v>14</v>
      </c>
      <c r="E878" t="s">
        <v>34</v>
      </c>
      <c r="F878" s="2">
        <v>7883.44</v>
      </c>
      <c r="G878">
        <v>13</v>
      </c>
      <c r="H878" t="s">
        <v>26</v>
      </c>
      <c r="I878" s="2">
        <v>366.2</v>
      </c>
      <c r="J878" s="2">
        <v>732.69</v>
      </c>
      <c r="K878" t="s">
        <v>30</v>
      </c>
      <c r="L878" s="5">
        <v>0.04</v>
      </c>
      <c r="M878" t="s">
        <v>18</v>
      </c>
      <c r="N878" t="s">
        <v>22</v>
      </c>
      <c r="O878" t="s">
        <v>46</v>
      </c>
      <c r="P878" s="4">
        <f t="shared" si="26"/>
        <v>9143.9712000000018</v>
      </c>
      <c r="Q878" s="4">
        <f t="shared" si="27"/>
        <v>4383.3712000000014</v>
      </c>
      <c r="R878" t="str">
        <f>IF( Table1[[#This Row],[Total Amount after sale]] &gt; 0,"PROFIT","LOSS")</f>
        <v>PROFIT</v>
      </c>
      <c r="S878" s="3">
        <f>(Table1[[#This Row],[Total Amount after sale]]/Table1[[#This Row],[Price after discount]])</f>
        <v>0.47937281342268451</v>
      </c>
    </row>
    <row r="879" spans="1:19" x14ac:dyDescent="0.3">
      <c r="A879">
        <v>1062</v>
      </c>
      <c r="B879" s="1">
        <v>45248</v>
      </c>
      <c r="C879" s="1">
        <f>DATE(YEAR(Table1[[#This Row],[Sale_Date]]), MONTH(Table1[[#This Row],[Sale_Date]]), 1)</f>
        <v>45231</v>
      </c>
      <c r="D879" t="s">
        <v>42</v>
      </c>
      <c r="E879" t="s">
        <v>34</v>
      </c>
      <c r="F879" s="2">
        <v>291.33999999999997</v>
      </c>
      <c r="G879">
        <v>12</v>
      </c>
      <c r="H879" t="s">
        <v>16</v>
      </c>
      <c r="I879" s="2">
        <v>1088.99</v>
      </c>
      <c r="J879" s="2">
        <v>1545</v>
      </c>
      <c r="K879" t="s">
        <v>17</v>
      </c>
      <c r="L879" s="5">
        <v>0.04</v>
      </c>
      <c r="M879" t="s">
        <v>27</v>
      </c>
      <c r="N879" t="s">
        <v>22</v>
      </c>
      <c r="O879" t="s">
        <v>52</v>
      </c>
      <c r="P879" s="4">
        <f t="shared" si="26"/>
        <v>17798.400000000001</v>
      </c>
      <c r="Q879" s="4">
        <f t="shared" si="27"/>
        <v>4730.5200000000004</v>
      </c>
      <c r="R879" t="str">
        <f>IF( Table1[[#This Row],[Total Amount after sale]] &gt; 0,"PROFIT","LOSS")</f>
        <v>PROFIT</v>
      </c>
      <c r="S879" s="3">
        <f>(Table1[[#This Row],[Total Amount after sale]]/Table1[[#This Row],[Price after discount]])</f>
        <v>0.26578344120819847</v>
      </c>
    </row>
    <row r="880" spans="1:19" x14ac:dyDescent="0.3">
      <c r="A880">
        <v>1004</v>
      </c>
      <c r="B880" s="1">
        <v>45248</v>
      </c>
      <c r="C880" s="1">
        <f>DATE(YEAR(Table1[[#This Row],[Sale_Date]]), MONTH(Table1[[#This Row],[Sale_Date]]), 1)</f>
        <v>45231</v>
      </c>
      <c r="D880" t="s">
        <v>42</v>
      </c>
      <c r="E880" t="s">
        <v>34</v>
      </c>
      <c r="F880" s="2">
        <v>7211.48</v>
      </c>
      <c r="G880">
        <v>1</v>
      </c>
      <c r="H880" t="s">
        <v>26</v>
      </c>
      <c r="I880" s="2">
        <v>182.99</v>
      </c>
      <c r="J880" s="2">
        <v>211.18</v>
      </c>
      <c r="K880" t="s">
        <v>17</v>
      </c>
      <c r="L880" s="5">
        <v>0.27</v>
      </c>
      <c r="M880" t="s">
        <v>27</v>
      </c>
      <c r="N880" t="s">
        <v>22</v>
      </c>
      <c r="O880" t="s">
        <v>52</v>
      </c>
      <c r="P880" s="4">
        <f t="shared" si="26"/>
        <v>154.16140000000001</v>
      </c>
      <c r="Q880" s="4">
        <f t="shared" si="27"/>
        <v>-28.828599999999994</v>
      </c>
      <c r="R880" t="str">
        <f>IF( Table1[[#This Row],[Total Amount after sale]] &gt; 0,"PROFIT","LOSS")</f>
        <v>LOSS</v>
      </c>
      <c r="S880" s="3">
        <f>(Table1[[#This Row],[Total Amount after sale]]/Table1[[#This Row],[Price after discount]])</f>
        <v>-0.18700271274132171</v>
      </c>
    </row>
    <row r="881" spans="1:19" x14ac:dyDescent="0.3">
      <c r="A881">
        <v>1033</v>
      </c>
      <c r="B881" s="1">
        <v>45249</v>
      </c>
      <c r="C881" s="1">
        <f>DATE(YEAR(Table1[[#This Row],[Sale_Date]]), MONTH(Table1[[#This Row],[Sale_Date]]), 1)</f>
        <v>45231</v>
      </c>
      <c r="D881" t="s">
        <v>24</v>
      </c>
      <c r="E881" t="s">
        <v>15</v>
      </c>
      <c r="F881" s="2">
        <v>349.41</v>
      </c>
      <c r="G881">
        <v>37</v>
      </c>
      <c r="H881" t="s">
        <v>35</v>
      </c>
      <c r="I881" s="2">
        <v>2600.7600000000002</v>
      </c>
      <c r="J881" s="2">
        <v>2937.57</v>
      </c>
      <c r="K881" t="s">
        <v>30</v>
      </c>
      <c r="L881" s="5">
        <v>0.17</v>
      </c>
      <c r="M881" t="s">
        <v>31</v>
      </c>
      <c r="N881" t="s">
        <v>22</v>
      </c>
      <c r="O881" t="s">
        <v>45</v>
      </c>
      <c r="P881" s="4">
        <f t="shared" si="26"/>
        <v>90212.774700000009</v>
      </c>
      <c r="Q881" s="4">
        <f t="shared" si="27"/>
        <v>-6015.3453000000009</v>
      </c>
      <c r="R881" t="str">
        <f>IF( Table1[[#This Row],[Total Amount after sale]] &gt; 0,"PROFIT","LOSS")</f>
        <v>LOSS</v>
      </c>
      <c r="S881" s="3">
        <f>(Table1[[#This Row],[Total Amount after sale]]/Table1[[#This Row],[Price after discount]])</f>
        <v>-6.6679528703156049E-2</v>
      </c>
    </row>
    <row r="882" spans="1:19" x14ac:dyDescent="0.3">
      <c r="A882">
        <v>1040</v>
      </c>
      <c r="B882" s="1">
        <v>45249</v>
      </c>
      <c r="C882" s="1">
        <f>DATE(YEAR(Table1[[#This Row],[Sale_Date]]), MONTH(Table1[[#This Row],[Sale_Date]]), 1)</f>
        <v>45231</v>
      </c>
      <c r="D882" t="s">
        <v>24</v>
      </c>
      <c r="E882" t="s">
        <v>15</v>
      </c>
      <c r="F882" s="2">
        <v>6601.62</v>
      </c>
      <c r="G882">
        <v>47</v>
      </c>
      <c r="H882" t="s">
        <v>35</v>
      </c>
      <c r="I882" s="2">
        <v>2189.54</v>
      </c>
      <c r="J882" s="2">
        <v>2617</v>
      </c>
      <c r="K882" t="s">
        <v>30</v>
      </c>
      <c r="L882" s="5">
        <v>0.01</v>
      </c>
      <c r="M882" t="s">
        <v>27</v>
      </c>
      <c r="N882" t="s">
        <v>19</v>
      </c>
      <c r="O882" t="s">
        <v>45</v>
      </c>
      <c r="P882" s="4">
        <f t="shared" si="26"/>
        <v>121769.01</v>
      </c>
      <c r="Q882" s="4">
        <f t="shared" si="27"/>
        <v>18860.629999999997</v>
      </c>
      <c r="R882" t="str">
        <f>IF( Table1[[#This Row],[Total Amount after sale]] &gt; 0,"PROFIT","LOSS")</f>
        <v>PROFIT</v>
      </c>
      <c r="S882" s="3">
        <f>(Table1[[#This Row],[Total Amount after sale]]/Table1[[#This Row],[Price after discount]])</f>
        <v>0.15488858782706699</v>
      </c>
    </row>
    <row r="883" spans="1:19" x14ac:dyDescent="0.3">
      <c r="A883">
        <v>1045</v>
      </c>
      <c r="B883" s="1">
        <v>45249</v>
      </c>
      <c r="C883" s="1">
        <f>DATE(YEAR(Table1[[#This Row],[Sale_Date]]), MONTH(Table1[[#This Row],[Sale_Date]]), 1)</f>
        <v>45231</v>
      </c>
      <c r="D883" t="s">
        <v>14</v>
      </c>
      <c r="E883" t="s">
        <v>15</v>
      </c>
      <c r="F883" s="2">
        <v>1649.12</v>
      </c>
      <c r="G883">
        <v>2</v>
      </c>
      <c r="H883" t="s">
        <v>35</v>
      </c>
      <c r="I883" s="2">
        <v>912.08</v>
      </c>
      <c r="J883" s="2">
        <v>993.24</v>
      </c>
      <c r="K883" t="s">
        <v>17</v>
      </c>
      <c r="L883" s="5">
        <v>0.09</v>
      </c>
      <c r="M883" t="s">
        <v>31</v>
      </c>
      <c r="N883" t="s">
        <v>19</v>
      </c>
      <c r="O883" t="s">
        <v>20</v>
      </c>
      <c r="P883" s="4">
        <f t="shared" si="26"/>
        <v>1807.6968000000002</v>
      </c>
      <c r="Q883" s="4">
        <f t="shared" si="27"/>
        <v>-16.463199999999915</v>
      </c>
      <c r="R883" t="str">
        <f>IF( Table1[[#This Row],[Total Amount after sale]] &gt; 0,"PROFIT","LOSS")</f>
        <v>LOSS</v>
      </c>
      <c r="S883" s="3">
        <f>(Table1[[#This Row],[Total Amount after sale]]/Table1[[#This Row],[Price after discount]])</f>
        <v>-9.1072794951011227E-3</v>
      </c>
    </row>
    <row r="884" spans="1:19" x14ac:dyDescent="0.3">
      <c r="A884">
        <v>1090</v>
      </c>
      <c r="B884" s="1">
        <v>45250</v>
      </c>
      <c r="C884" s="1">
        <f>DATE(YEAR(Table1[[#This Row],[Sale_Date]]), MONTH(Table1[[#This Row],[Sale_Date]]), 1)</f>
        <v>45231</v>
      </c>
      <c r="D884" t="s">
        <v>42</v>
      </c>
      <c r="E884" t="s">
        <v>21</v>
      </c>
      <c r="F884" s="2">
        <v>267.77999999999997</v>
      </c>
      <c r="G884">
        <v>32</v>
      </c>
      <c r="H884" t="s">
        <v>35</v>
      </c>
      <c r="I884" s="2">
        <v>2678.99</v>
      </c>
      <c r="J884" s="2">
        <v>3152.2799999999902</v>
      </c>
      <c r="K884" t="s">
        <v>17</v>
      </c>
      <c r="L884" s="5">
        <v>0.22</v>
      </c>
      <c r="M884" t="s">
        <v>18</v>
      </c>
      <c r="N884" t="s">
        <v>22</v>
      </c>
      <c r="O884" t="s">
        <v>51</v>
      </c>
      <c r="P884" s="4">
        <f t="shared" si="26"/>
        <v>78680.908799999757</v>
      </c>
      <c r="Q884" s="4">
        <f t="shared" si="27"/>
        <v>-7046.7712000002357</v>
      </c>
      <c r="R884" t="str">
        <f>IF( Table1[[#This Row],[Total Amount after sale]] &gt; 0,"PROFIT","LOSS")</f>
        <v>LOSS</v>
      </c>
      <c r="S884" s="3">
        <f>(Table1[[#This Row],[Total Amount after sale]]/Table1[[#This Row],[Price after discount]])</f>
        <v>-8.9561385442465266E-2</v>
      </c>
    </row>
    <row r="885" spans="1:19" x14ac:dyDescent="0.3">
      <c r="A885">
        <v>1028</v>
      </c>
      <c r="B885" s="1">
        <v>45250</v>
      </c>
      <c r="C885" s="1">
        <f>DATE(YEAR(Table1[[#This Row],[Sale_Date]]), MONTH(Table1[[#This Row],[Sale_Date]]), 1)</f>
        <v>45231</v>
      </c>
      <c r="D885" t="s">
        <v>42</v>
      </c>
      <c r="E885" t="s">
        <v>34</v>
      </c>
      <c r="F885" s="2">
        <v>388.78</v>
      </c>
      <c r="G885">
        <v>5</v>
      </c>
      <c r="H885" t="s">
        <v>26</v>
      </c>
      <c r="I885" s="2">
        <v>734.92</v>
      </c>
      <c r="J885" s="2">
        <v>991.21</v>
      </c>
      <c r="K885" t="s">
        <v>17</v>
      </c>
      <c r="L885" s="5">
        <v>0.21</v>
      </c>
      <c r="M885" t="s">
        <v>31</v>
      </c>
      <c r="N885" t="s">
        <v>19</v>
      </c>
      <c r="O885" t="s">
        <v>52</v>
      </c>
      <c r="P885" s="4">
        <f t="shared" si="26"/>
        <v>3915.2795000000006</v>
      </c>
      <c r="Q885" s="4">
        <f t="shared" si="27"/>
        <v>240.67950000000053</v>
      </c>
      <c r="R885" t="str">
        <f>IF( Table1[[#This Row],[Total Amount after sale]] &gt; 0,"PROFIT","LOSS")</f>
        <v>PROFIT</v>
      </c>
      <c r="S885" s="3">
        <f>(Table1[[#This Row],[Total Amount after sale]]/Table1[[#This Row],[Price after discount]])</f>
        <v>6.1471856606916696E-2</v>
      </c>
    </row>
    <row r="886" spans="1:19" x14ac:dyDescent="0.3">
      <c r="A886">
        <v>1012</v>
      </c>
      <c r="B886" s="1">
        <v>45250</v>
      </c>
      <c r="C886" s="1">
        <f>DATE(YEAR(Table1[[#This Row],[Sale_Date]]), MONTH(Table1[[#This Row],[Sale_Date]]), 1)</f>
        <v>45231</v>
      </c>
      <c r="D886" t="s">
        <v>14</v>
      </c>
      <c r="E886" t="s">
        <v>15</v>
      </c>
      <c r="F886" s="2">
        <v>5858.06</v>
      </c>
      <c r="G886">
        <v>1</v>
      </c>
      <c r="H886" t="s">
        <v>26</v>
      </c>
      <c r="I886" s="2">
        <v>4190.83</v>
      </c>
      <c r="J886" s="2">
        <v>4528.7699999999904</v>
      </c>
      <c r="K886" t="s">
        <v>17</v>
      </c>
      <c r="L886" s="5">
        <v>0.22</v>
      </c>
      <c r="M886" t="s">
        <v>27</v>
      </c>
      <c r="N886" t="s">
        <v>19</v>
      </c>
      <c r="O886" t="s">
        <v>20</v>
      </c>
      <c r="P886" s="4">
        <f t="shared" si="26"/>
        <v>3532.4405999999926</v>
      </c>
      <c r="Q886" s="4">
        <f t="shared" si="27"/>
        <v>-658.3894000000073</v>
      </c>
      <c r="R886" t="str">
        <f>IF( Table1[[#This Row],[Total Amount after sale]] &gt; 0,"PROFIT","LOSS")</f>
        <v>LOSS</v>
      </c>
      <c r="S886" s="3">
        <f>(Table1[[#This Row],[Total Amount after sale]]/Table1[[#This Row],[Price after discount]])</f>
        <v>-0.186383714421131</v>
      </c>
    </row>
    <row r="887" spans="1:19" x14ac:dyDescent="0.3">
      <c r="A887">
        <v>1036</v>
      </c>
      <c r="B887" s="1">
        <v>45250</v>
      </c>
      <c r="C887" s="1">
        <f>DATE(YEAR(Table1[[#This Row],[Sale_Date]]), MONTH(Table1[[#This Row],[Sale_Date]]), 1)</f>
        <v>45231</v>
      </c>
      <c r="D887" t="s">
        <v>42</v>
      </c>
      <c r="E887" t="s">
        <v>34</v>
      </c>
      <c r="F887" s="2">
        <v>5454.96</v>
      </c>
      <c r="G887">
        <v>32</v>
      </c>
      <c r="H887" t="s">
        <v>29</v>
      </c>
      <c r="I887" s="2">
        <v>700.49</v>
      </c>
      <c r="J887" s="2">
        <v>1126.52</v>
      </c>
      <c r="K887" t="s">
        <v>30</v>
      </c>
      <c r="L887" s="5">
        <v>0.28999999999999998</v>
      </c>
      <c r="M887" t="s">
        <v>31</v>
      </c>
      <c r="N887" t="s">
        <v>22</v>
      </c>
      <c r="O887" t="s">
        <v>52</v>
      </c>
      <c r="P887" s="4">
        <f t="shared" si="26"/>
        <v>25594.534399999997</v>
      </c>
      <c r="Q887" s="4">
        <f t="shared" si="27"/>
        <v>3178.8543999999965</v>
      </c>
      <c r="R887" t="str">
        <f>IF( Table1[[#This Row],[Total Amount after sale]] &gt; 0,"PROFIT","LOSS")</f>
        <v>PROFIT</v>
      </c>
      <c r="S887" s="3">
        <f>(Table1[[#This Row],[Total Amount after sale]]/Table1[[#This Row],[Price after discount]])</f>
        <v>0.12420051681033889</v>
      </c>
    </row>
    <row r="888" spans="1:19" x14ac:dyDescent="0.3">
      <c r="A888">
        <v>1084</v>
      </c>
      <c r="B888" s="1">
        <v>45250</v>
      </c>
      <c r="C888" s="1">
        <f>DATE(YEAR(Table1[[#This Row],[Sale_Date]]), MONTH(Table1[[#This Row],[Sale_Date]]), 1)</f>
        <v>45231</v>
      </c>
      <c r="D888" t="s">
        <v>14</v>
      </c>
      <c r="E888" t="s">
        <v>25</v>
      </c>
      <c r="F888" s="2">
        <v>2396.98</v>
      </c>
      <c r="G888">
        <v>15</v>
      </c>
      <c r="H888" t="s">
        <v>16</v>
      </c>
      <c r="I888" s="2">
        <v>3420.72</v>
      </c>
      <c r="J888" s="2">
        <v>3513.74</v>
      </c>
      <c r="K888" t="s">
        <v>30</v>
      </c>
      <c r="L888" s="5">
        <v>0.02</v>
      </c>
      <c r="M888" t="s">
        <v>18</v>
      </c>
      <c r="N888" t="s">
        <v>19</v>
      </c>
      <c r="O888" t="s">
        <v>32</v>
      </c>
      <c r="P888" s="4">
        <f t="shared" si="26"/>
        <v>51651.977999999996</v>
      </c>
      <c r="Q888" s="4">
        <f t="shared" si="27"/>
        <v>341.17799999999761</v>
      </c>
      <c r="R888" t="str">
        <f>IF( Table1[[#This Row],[Total Amount after sale]] &gt; 0,"PROFIT","LOSS")</f>
        <v>PROFIT</v>
      </c>
      <c r="S888" s="3">
        <f>(Table1[[#This Row],[Total Amount after sale]]/Table1[[#This Row],[Price after discount]])</f>
        <v>6.6053230333211563E-3</v>
      </c>
    </row>
    <row r="889" spans="1:19" x14ac:dyDescent="0.3">
      <c r="A889">
        <v>1014</v>
      </c>
      <c r="B889" s="1">
        <v>45252</v>
      </c>
      <c r="C889" s="1">
        <f>DATE(YEAR(Table1[[#This Row],[Sale_Date]]), MONTH(Table1[[#This Row],[Sale_Date]]), 1)</f>
        <v>45231</v>
      </c>
      <c r="D889" t="s">
        <v>24</v>
      </c>
      <c r="E889" t="s">
        <v>21</v>
      </c>
      <c r="F889" s="2">
        <v>9762.5400000000009</v>
      </c>
      <c r="G889">
        <v>17</v>
      </c>
      <c r="H889" t="s">
        <v>26</v>
      </c>
      <c r="I889" s="2">
        <v>3184.65</v>
      </c>
      <c r="J889" s="2">
        <v>3204.01</v>
      </c>
      <c r="K889" t="s">
        <v>30</v>
      </c>
      <c r="L889" s="5">
        <v>0.2</v>
      </c>
      <c r="M889" t="s">
        <v>27</v>
      </c>
      <c r="N889" t="s">
        <v>19</v>
      </c>
      <c r="O889" t="s">
        <v>47</v>
      </c>
      <c r="P889" s="4">
        <f t="shared" si="26"/>
        <v>43574.536000000007</v>
      </c>
      <c r="Q889" s="4">
        <f t="shared" si="27"/>
        <v>-10564.513999999992</v>
      </c>
      <c r="R889" t="str">
        <f>IF( Table1[[#This Row],[Total Amount after sale]] &gt; 0,"PROFIT","LOSS")</f>
        <v>LOSS</v>
      </c>
      <c r="S889" s="3">
        <f>(Table1[[#This Row],[Total Amount after sale]]/Table1[[#This Row],[Price after discount]])</f>
        <v>-0.24244696489711307</v>
      </c>
    </row>
    <row r="890" spans="1:19" x14ac:dyDescent="0.3">
      <c r="A890">
        <v>1093</v>
      </c>
      <c r="B890" s="1">
        <v>45252</v>
      </c>
      <c r="C890" s="1">
        <f>DATE(YEAR(Table1[[#This Row],[Sale_Date]]), MONTH(Table1[[#This Row],[Sale_Date]]), 1)</f>
        <v>45231</v>
      </c>
      <c r="D890" t="s">
        <v>33</v>
      </c>
      <c r="E890" t="s">
        <v>15</v>
      </c>
      <c r="F890" s="2">
        <v>862.1</v>
      </c>
      <c r="G890">
        <v>22</v>
      </c>
      <c r="H890" t="s">
        <v>16</v>
      </c>
      <c r="I890" s="2">
        <v>3285.25</v>
      </c>
      <c r="J890" s="2">
        <v>3634.58</v>
      </c>
      <c r="K890" t="s">
        <v>30</v>
      </c>
      <c r="L890" s="5">
        <v>0.13</v>
      </c>
      <c r="M890" t="s">
        <v>27</v>
      </c>
      <c r="N890" t="s">
        <v>19</v>
      </c>
      <c r="O890" t="s">
        <v>53</v>
      </c>
      <c r="P890" s="4">
        <f t="shared" si="26"/>
        <v>69565.861199999999</v>
      </c>
      <c r="Q890" s="4">
        <f t="shared" si="27"/>
        <v>-2709.638799999997</v>
      </c>
      <c r="R890" t="str">
        <f>IF( Table1[[#This Row],[Total Amount after sale]] &gt; 0,"PROFIT","LOSS")</f>
        <v>LOSS</v>
      </c>
      <c r="S890" s="3">
        <f>(Table1[[#This Row],[Total Amount after sale]]/Table1[[#This Row],[Price after discount]])</f>
        <v>-3.8950697271034389E-2</v>
      </c>
    </row>
    <row r="891" spans="1:19" x14ac:dyDescent="0.3">
      <c r="A891">
        <v>1058</v>
      </c>
      <c r="B891" s="1">
        <v>45252</v>
      </c>
      <c r="C891" s="1">
        <f>DATE(YEAR(Table1[[#This Row],[Sale_Date]]), MONTH(Table1[[#This Row],[Sale_Date]]), 1)</f>
        <v>45231</v>
      </c>
      <c r="D891" t="s">
        <v>42</v>
      </c>
      <c r="E891" t="s">
        <v>21</v>
      </c>
      <c r="F891" s="2">
        <v>8085.98</v>
      </c>
      <c r="G891">
        <v>15</v>
      </c>
      <c r="H891" t="s">
        <v>29</v>
      </c>
      <c r="I891" s="2">
        <v>894.48</v>
      </c>
      <c r="J891" s="2">
        <v>1336.37</v>
      </c>
      <c r="K891" t="s">
        <v>17</v>
      </c>
      <c r="L891" s="5">
        <v>0.26</v>
      </c>
      <c r="M891" t="s">
        <v>18</v>
      </c>
      <c r="N891" t="s">
        <v>22</v>
      </c>
      <c r="O891" t="s">
        <v>51</v>
      </c>
      <c r="P891" s="4">
        <f t="shared" si="26"/>
        <v>14833.706999999999</v>
      </c>
      <c r="Q891" s="4">
        <f t="shared" si="27"/>
        <v>1416.5069999999987</v>
      </c>
      <c r="R891" t="str">
        <f>IF( Table1[[#This Row],[Total Amount after sale]] &gt; 0,"PROFIT","LOSS")</f>
        <v>PROFIT</v>
      </c>
      <c r="S891" s="3">
        <f>(Table1[[#This Row],[Total Amount after sale]]/Table1[[#This Row],[Price after discount]])</f>
        <v>9.5492448381244072E-2</v>
      </c>
    </row>
    <row r="892" spans="1:19" x14ac:dyDescent="0.3">
      <c r="A892">
        <v>1016</v>
      </c>
      <c r="B892" s="1">
        <v>45253</v>
      </c>
      <c r="C892" s="1">
        <f>DATE(YEAR(Table1[[#This Row],[Sale_Date]]), MONTH(Table1[[#This Row],[Sale_Date]]), 1)</f>
        <v>45231</v>
      </c>
      <c r="D892" t="s">
        <v>38</v>
      </c>
      <c r="E892" t="s">
        <v>34</v>
      </c>
      <c r="F892" s="2">
        <v>5490.52</v>
      </c>
      <c r="G892">
        <v>26</v>
      </c>
      <c r="H892" t="s">
        <v>29</v>
      </c>
      <c r="I892" s="2">
        <v>4906.8500000000004</v>
      </c>
      <c r="J892" s="2">
        <v>4954.3900000000003</v>
      </c>
      <c r="K892" t="s">
        <v>30</v>
      </c>
      <c r="L892" s="5">
        <v>0.25</v>
      </c>
      <c r="M892" t="s">
        <v>27</v>
      </c>
      <c r="N892" t="s">
        <v>19</v>
      </c>
      <c r="O892" t="s">
        <v>48</v>
      </c>
      <c r="P892" s="4">
        <f t="shared" si="26"/>
        <v>96610.60500000001</v>
      </c>
      <c r="Q892" s="4">
        <f t="shared" si="27"/>
        <v>-30967.494999999995</v>
      </c>
      <c r="R892" t="str">
        <f>IF( Table1[[#This Row],[Total Amount after sale]] &gt; 0,"PROFIT","LOSS")</f>
        <v>LOSS</v>
      </c>
      <c r="S892" s="3">
        <f>(Table1[[#This Row],[Total Amount after sale]]/Table1[[#This Row],[Price after discount]])</f>
        <v>-0.32053929276190735</v>
      </c>
    </row>
    <row r="893" spans="1:19" x14ac:dyDescent="0.3">
      <c r="A893">
        <v>1065</v>
      </c>
      <c r="B893" s="1">
        <v>45254</v>
      </c>
      <c r="C893" s="1">
        <f>DATE(YEAR(Table1[[#This Row],[Sale_Date]]), MONTH(Table1[[#This Row],[Sale_Date]]), 1)</f>
        <v>45231</v>
      </c>
      <c r="D893" t="s">
        <v>14</v>
      </c>
      <c r="E893" t="s">
        <v>34</v>
      </c>
      <c r="F893" s="2">
        <v>9183.11</v>
      </c>
      <c r="G893">
        <v>18</v>
      </c>
      <c r="H893" t="s">
        <v>26</v>
      </c>
      <c r="I893" s="2">
        <v>1239.0899999999999</v>
      </c>
      <c r="J893" s="2">
        <v>1273.98</v>
      </c>
      <c r="K893" t="s">
        <v>30</v>
      </c>
      <c r="L893" s="5">
        <v>0.02</v>
      </c>
      <c r="M893" t="s">
        <v>27</v>
      </c>
      <c r="N893" t="s">
        <v>22</v>
      </c>
      <c r="O893" t="s">
        <v>46</v>
      </c>
      <c r="P893" s="4">
        <f t="shared" si="26"/>
        <v>22473.0072</v>
      </c>
      <c r="Q893" s="4">
        <f t="shared" si="27"/>
        <v>169.38719999999967</v>
      </c>
      <c r="R893" t="str">
        <f>IF( Table1[[#This Row],[Total Amount after sale]] &gt; 0,"PROFIT","LOSS")</f>
        <v>PROFIT</v>
      </c>
      <c r="S893" s="3">
        <f>(Table1[[#This Row],[Total Amount after sale]]/Table1[[#This Row],[Price after discount]])</f>
        <v>7.537362422951552E-3</v>
      </c>
    </row>
    <row r="894" spans="1:19" x14ac:dyDescent="0.3">
      <c r="A894">
        <v>1072</v>
      </c>
      <c r="B894" s="1">
        <v>45254</v>
      </c>
      <c r="C894" s="1">
        <f>DATE(YEAR(Table1[[#This Row],[Sale_Date]]), MONTH(Table1[[#This Row],[Sale_Date]]), 1)</f>
        <v>45231</v>
      </c>
      <c r="D894" t="s">
        <v>42</v>
      </c>
      <c r="E894" t="s">
        <v>34</v>
      </c>
      <c r="F894" s="2">
        <v>5511.11</v>
      </c>
      <c r="G894">
        <v>25</v>
      </c>
      <c r="H894" t="s">
        <v>29</v>
      </c>
      <c r="I894" s="2">
        <v>481.19</v>
      </c>
      <c r="J894" s="2">
        <v>693.4</v>
      </c>
      <c r="K894" t="s">
        <v>30</v>
      </c>
      <c r="L894" s="5">
        <v>0.27</v>
      </c>
      <c r="M894" t="s">
        <v>31</v>
      </c>
      <c r="N894" t="s">
        <v>22</v>
      </c>
      <c r="O894" t="s">
        <v>52</v>
      </c>
      <c r="P894" s="4">
        <f t="shared" si="26"/>
        <v>12654.55</v>
      </c>
      <c r="Q894" s="4">
        <f t="shared" si="27"/>
        <v>624.79999999999905</v>
      </c>
      <c r="R894" t="str">
        <f>IF( Table1[[#This Row],[Total Amount after sale]] &gt; 0,"PROFIT","LOSS")</f>
        <v>PROFIT</v>
      </c>
      <c r="S894" s="3">
        <f>(Table1[[#This Row],[Total Amount after sale]]/Table1[[#This Row],[Price after discount]])</f>
        <v>4.9373545483640202E-2</v>
      </c>
    </row>
    <row r="895" spans="1:19" x14ac:dyDescent="0.3">
      <c r="A895">
        <v>1003</v>
      </c>
      <c r="B895" s="1">
        <v>45254</v>
      </c>
      <c r="C895" s="1">
        <f>DATE(YEAR(Table1[[#This Row],[Sale_Date]]), MONTH(Table1[[#This Row],[Sale_Date]]), 1)</f>
        <v>45231</v>
      </c>
      <c r="D895" t="s">
        <v>38</v>
      </c>
      <c r="E895" t="s">
        <v>34</v>
      </c>
      <c r="F895" s="2">
        <v>5215.3100000000004</v>
      </c>
      <c r="G895">
        <v>11</v>
      </c>
      <c r="H895" t="s">
        <v>26</v>
      </c>
      <c r="I895" s="2">
        <v>3706.78</v>
      </c>
      <c r="J895" s="2">
        <v>3862.26</v>
      </c>
      <c r="K895" t="s">
        <v>30</v>
      </c>
      <c r="L895" s="5">
        <v>0.22</v>
      </c>
      <c r="M895" t="s">
        <v>31</v>
      </c>
      <c r="N895" t="s">
        <v>22</v>
      </c>
      <c r="O895" t="s">
        <v>48</v>
      </c>
      <c r="P895" s="4">
        <f t="shared" si="26"/>
        <v>33138.190800000004</v>
      </c>
      <c r="Q895" s="4">
        <f t="shared" si="27"/>
        <v>-7636.3892000000005</v>
      </c>
      <c r="R895" t="str">
        <f>IF( Table1[[#This Row],[Total Amount after sale]] &gt; 0,"PROFIT","LOSS")</f>
        <v>LOSS</v>
      </c>
      <c r="S895" s="3">
        <f>(Table1[[#This Row],[Total Amount after sale]]/Table1[[#This Row],[Price after discount]])</f>
        <v>-0.23044073969179993</v>
      </c>
    </row>
    <row r="896" spans="1:19" x14ac:dyDescent="0.3">
      <c r="A896">
        <v>1021</v>
      </c>
      <c r="B896" s="1">
        <v>45254</v>
      </c>
      <c r="C896" s="1">
        <f>DATE(YEAR(Table1[[#This Row],[Sale_Date]]), MONTH(Table1[[#This Row],[Sale_Date]]), 1)</f>
        <v>45231</v>
      </c>
      <c r="D896" t="s">
        <v>38</v>
      </c>
      <c r="E896" t="s">
        <v>15</v>
      </c>
      <c r="F896" s="2">
        <v>213.04</v>
      </c>
      <c r="G896">
        <v>15</v>
      </c>
      <c r="H896" t="s">
        <v>26</v>
      </c>
      <c r="I896" s="2">
        <v>3771.27</v>
      </c>
      <c r="J896" s="2">
        <v>4212.55</v>
      </c>
      <c r="K896" t="s">
        <v>17</v>
      </c>
      <c r="L896" s="5">
        <v>0.16</v>
      </c>
      <c r="M896" t="s">
        <v>31</v>
      </c>
      <c r="N896" t="s">
        <v>22</v>
      </c>
      <c r="O896" t="s">
        <v>40</v>
      </c>
      <c r="P896" s="4">
        <f t="shared" si="26"/>
        <v>53078.13</v>
      </c>
      <c r="Q896" s="4">
        <f t="shared" si="27"/>
        <v>-3490.920000000001</v>
      </c>
      <c r="R896" t="str">
        <f>IF( Table1[[#This Row],[Total Amount after sale]] &gt; 0,"PROFIT","LOSS")</f>
        <v>LOSS</v>
      </c>
      <c r="S896" s="3">
        <f>(Table1[[#This Row],[Total Amount after sale]]/Table1[[#This Row],[Price after discount]])</f>
        <v>-6.5769460981387265E-2</v>
      </c>
    </row>
    <row r="897" spans="1:19" x14ac:dyDescent="0.3">
      <c r="A897">
        <v>1024</v>
      </c>
      <c r="B897" s="1">
        <v>45254</v>
      </c>
      <c r="C897" s="1">
        <f>DATE(YEAR(Table1[[#This Row],[Sale_Date]]), MONTH(Table1[[#This Row],[Sale_Date]]), 1)</f>
        <v>45231</v>
      </c>
      <c r="D897" t="s">
        <v>42</v>
      </c>
      <c r="E897" t="s">
        <v>25</v>
      </c>
      <c r="F897" s="2">
        <v>3633.17</v>
      </c>
      <c r="G897">
        <v>22</v>
      </c>
      <c r="H897" t="s">
        <v>26</v>
      </c>
      <c r="I897" s="2">
        <v>4691.32</v>
      </c>
      <c r="J897" s="2">
        <v>4752.88</v>
      </c>
      <c r="K897" t="s">
        <v>17</v>
      </c>
      <c r="L897" s="5">
        <v>7.0000000000000007E-2</v>
      </c>
      <c r="M897" t="s">
        <v>27</v>
      </c>
      <c r="N897" t="s">
        <v>22</v>
      </c>
      <c r="O897" t="s">
        <v>43</v>
      </c>
      <c r="P897" s="4">
        <f t="shared" si="26"/>
        <v>97243.924799999993</v>
      </c>
      <c r="Q897" s="4">
        <f t="shared" si="27"/>
        <v>-5965.1151999999984</v>
      </c>
      <c r="R897" t="str">
        <f>IF( Table1[[#This Row],[Total Amount after sale]] &gt; 0,"PROFIT","LOSS")</f>
        <v>LOSS</v>
      </c>
      <c r="S897" s="3">
        <f>(Table1[[#This Row],[Total Amount after sale]]/Table1[[#This Row],[Price after discount]])</f>
        <v>-6.1341777517396119E-2</v>
      </c>
    </row>
    <row r="898" spans="1:19" x14ac:dyDescent="0.3">
      <c r="A898">
        <v>1071</v>
      </c>
      <c r="B898" s="1">
        <v>45254</v>
      </c>
      <c r="C898" s="1">
        <f>DATE(YEAR(Table1[[#This Row],[Sale_Date]]), MONTH(Table1[[#This Row],[Sale_Date]]), 1)</f>
        <v>45231</v>
      </c>
      <c r="D898" t="s">
        <v>42</v>
      </c>
      <c r="E898" t="s">
        <v>21</v>
      </c>
      <c r="F898" s="2">
        <v>8049.72</v>
      </c>
      <c r="G898">
        <v>12</v>
      </c>
      <c r="H898" t="s">
        <v>26</v>
      </c>
      <c r="I898" s="2">
        <v>4317.95</v>
      </c>
      <c r="J898" s="2">
        <v>4636.59</v>
      </c>
      <c r="K898" t="s">
        <v>30</v>
      </c>
      <c r="L898" s="5">
        <v>0.18</v>
      </c>
      <c r="M898" t="s">
        <v>31</v>
      </c>
      <c r="N898" t="s">
        <v>22</v>
      </c>
      <c r="O898" t="s">
        <v>51</v>
      </c>
      <c r="P898" s="4">
        <f t="shared" ref="P898:P961" si="28" xml:space="preserve"> J898 * (1 - L898) * G898</f>
        <v>45624.045600000005</v>
      </c>
      <c r="Q898" s="4">
        <f t="shared" ref="Q898:Q961" si="29" xml:space="preserve"> (J898 * (1 - L898) - I898) * G898</f>
        <v>-6191.3543999999929</v>
      </c>
      <c r="R898" t="str">
        <f>IF( Table1[[#This Row],[Total Amount after sale]] &gt; 0,"PROFIT","LOSS")</f>
        <v>LOSS</v>
      </c>
      <c r="S898" s="3">
        <f>(Table1[[#This Row],[Total Amount after sale]]/Table1[[#This Row],[Price after discount]])</f>
        <v>-0.13570375705568716</v>
      </c>
    </row>
    <row r="899" spans="1:19" x14ac:dyDescent="0.3">
      <c r="A899">
        <v>1022</v>
      </c>
      <c r="B899" s="1">
        <v>45254</v>
      </c>
      <c r="C899" s="1">
        <f>DATE(YEAR(Table1[[#This Row],[Sale_Date]]), MONTH(Table1[[#This Row],[Sale_Date]]), 1)</f>
        <v>45231</v>
      </c>
      <c r="D899" t="s">
        <v>38</v>
      </c>
      <c r="E899" t="s">
        <v>21</v>
      </c>
      <c r="F899" s="2">
        <v>8906.24</v>
      </c>
      <c r="G899">
        <v>29</v>
      </c>
      <c r="H899" t="s">
        <v>16</v>
      </c>
      <c r="I899" s="2">
        <v>479.58</v>
      </c>
      <c r="J899" s="2">
        <v>909.88</v>
      </c>
      <c r="K899" t="s">
        <v>17</v>
      </c>
      <c r="L899" s="5">
        <v>0.13</v>
      </c>
      <c r="M899" t="s">
        <v>31</v>
      </c>
      <c r="N899" t="s">
        <v>22</v>
      </c>
      <c r="O899" t="s">
        <v>41</v>
      </c>
      <c r="P899" s="4">
        <f t="shared" si="28"/>
        <v>22956.272399999998</v>
      </c>
      <c r="Q899" s="4">
        <f t="shared" si="29"/>
        <v>9048.4524000000001</v>
      </c>
      <c r="R899" t="str">
        <f>IF( Table1[[#This Row],[Total Amount after sale]] &gt; 0,"PROFIT","LOSS")</f>
        <v>PROFIT</v>
      </c>
      <c r="S899" s="3">
        <f>(Table1[[#This Row],[Total Amount after sale]]/Table1[[#This Row],[Price after discount]])</f>
        <v>0.39416035157345497</v>
      </c>
    </row>
    <row r="900" spans="1:19" x14ac:dyDescent="0.3">
      <c r="A900">
        <v>1095</v>
      </c>
      <c r="B900" s="1">
        <v>45255</v>
      </c>
      <c r="C900" s="1">
        <f>DATE(YEAR(Table1[[#This Row],[Sale_Date]]), MONTH(Table1[[#This Row],[Sale_Date]]), 1)</f>
        <v>45231</v>
      </c>
      <c r="D900" t="s">
        <v>42</v>
      </c>
      <c r="E900" t="s">
        <v>34</v>
      </c>
      <c r="F900" s="2">
        <v>9432.9699999999993</v>
      </c>
      <c r="G900">
        <v>37</v>
      </c>
      <c r="H900" t="s">
        <v>35</v>
      </c>
      <c r="I900" s="2">
        <v>407.77</v>
      </c>
      <c r="J900" s="2">
        <v>860.95</v>
      </c>
      <c r="K900" t="s">
        <v>30</v>
      </c>
      <c r="L900" s="5">
        <v>0.1</v>
      </c>
      <c r="M900" t="s">
        <v>31</v>
      </c>
      <c r="N900" t="s">
        <v>22</v>
      </c>
      <c r="O900" t="s">
        <v>52</v>
      </c>
      <c r="P900" s="4">
        <f t="shared" si="28"/>
        <v>28669.635000000002</v>
      </c>
      <c r="Q900" s="4">
        <f t="shared" si="29"/>
        <v>13582.145</v>
      </c>
      <c r="R900" t="str">
        <f>IF( Table1[[#This Row],[Total Amount after sale]] &gt; 0,"PROFIT","LOSS")</f>
        <v>PROFIT</v>
      </c>
      <c r="S900" s="3">
        <f>(Table1[[#This Row],[Total Amount after sale]]/Table1[[#This Row],[Price after discount]])</f>
        <v>0.47374670099567012</v>
      </c>
    </row>
    <row r="901" spans="1:19" x14ac:dyDescent="0.3">
      <c r="A901">
        <v>1074</v>
      </c>
      <c r="B901" s="1">
        <v>45255</v>
      </c>
      <c r="C901" s="1">
        <f>DATE(YEAR(Table1[[#This Row],[Sale_Date]]), MONTH(Table1[[#This Row],[Sale_Date]]), 1)</f>
        <v>45231</v>
      </c>
      <c r="D901" t="s">
        <v>38</v>
      </c>
      <c r="E901" t="s">
        <v>15</v>
      </c>
      <c r="F901" s="2">
        <v>3570.15</v>
      </c>
      <c r="G901">
        <v>42</v>
      </c>
      <c r="H901" t="s">
        <v>16</v>
      </c>
      <c r="I901" s="2">
        <v>2120.81</v>
      </c>
      <c r="J901" s="2">
        <v>2611.94</v>
      </c>
      <c r="K901" t="s">
        <v>17</v>
      </c>
      <c r="L901" s="5">
        <v>0.23</v>
      </c>
      <c r="M901" t="s">
        <v>18</v>
      </c>
      <c r="N901" t="s">
        <v>19</v>
      </c>
      <c r="O901" t="s">
        <v>40</v>
      </c>
      <c r="P901" s="4">
        <f t="shared" si="28"/>
        <v>84470.139599999995</v>
      </c>
      <c r="Q901" s="4">
        <f t="shared" si="29"/>
        <v>-4603.8803999999973</v>
      </c>
      <c r="R901" t="str">
        <f>IF( Table1[[#This Row],[Total Amount after sale]] &gt; 0,"PROFIT","LOSS")</f>
        <v>LOSS</v>
      </c>
      <c r="S901" s="3">
        <f>(Table1[[#This Row],[Total Amount after sale]]/Table1[[#This Row],[Price after discount]])</f>
        <v>-5.4503051868994394E-2</v>
      </c>
    </row>
    <row r="902" spans="1:19" x14ac:dyDescent="0.3">
      <c r="A902">
        <v>1043</v>
      </c>
      <c r="B902" s="1">
        <v>45256</v>
      </c>
      <c r="C902" s="1">
        <f>DATE(YEAR(Table1[[#This Row],[Sale_Date]]), MONTH(Table1[[#This Row],[Sale_Date]]), 1)</f>
        <v>45231</v>
      </c>
      <c r="D902" t="s">
        <v>14</v>
      </c>
      <c r="E902" t="s">
        <v>25</v>
      </c>
      <c r="F902" s="2">
        <v>1710.73</v>
      </c>
      <c r="G902">
        <v>3</v>
      </c>
      <c r="H902" t="s">
        <v>35</v>
      </c>
      <c r="I902" s="2">
        <v>2009.1</v>
      </c>
      <c r="J902" s="2">
        <v>2186.42</v>
      </c>
      <c r="K902" t="s">
        <v>30</v>
      </c>
      <c r="L902" s="5">
        <v>0.25</v>
      </c>
      <c r="M902" t="s">
        <v>27</v>
      </c>
      <c r="N902" t="s">
        <v>19</v>
      </c>
      <c r="O902" t="s">
        <v>32</v>
      </c>
      <c r="P902" s="4">
        <f t="shared" si="28"/>
        <v>4919.4449999999997</v>
      </c>
      <c r="Q902" s="4">
        <f t="shared" si="29"/>
        <v>-1107.8549999999996</v>
      </c>
      <c r="R902" t="str">
        <f>IF( Table1[[#This Row],[Total Amount after sale]] &gt; 0,"PROFIT","LOSS")</f>
        <v>LOSS</v>
      </c>
      <c r="S902" s="3">
        <f>(Table1[[#This Row],[Total Amount after sale]]/Table1[[#This Row],[Price after discount]])</f>
        <v>-0.22519918405429873</v>
      </c>
    </row>
    <row r="903" spans="1:19" x14ac:dyDescent="0.3">
      <c r="A903">
        <v>1070</v>
      </c>
      <c r="B903" s="1">
        <v>45256</v>
      </c>
      <c r="C903" s="1">
        <f>DATE(YEAR(Table1[[#This Row],[Sale_Date]]), MONTH(Table1[[#This Row],[Sale_Date]]), 1)</f>
        <v>45231</v>
      </c>
      <c r="D903" t="s">
        <v>24</v>
      </c>
      <c r="E903" t="s">
        <v>15</v>
      </c>
      <c r="F903" s="2">
        <v>5813.51</v>
      </c>
      <c r="G903">
        <v>40</v>
      </c>
      <c r="H903" t="s">
        <v>16</v>
      </c>
      <c r="I903" s="2">
        <v>3089.96</v>
      </c>
      <c r="J903" s="2">
        <v>3258.45</v>
      </c>
      <c r="K903" t="s">
        <v>30</v>
      </c>
      <c r="L903" s="5">
        <v>0.28999999999999998</v>
      </c>
      <c r="M903" t="s">
        <v>18</v>
      </c>
      <c r="N903" t="s">
        <v>19</v>
      </c>
      <c r="O903" t="s">
        <v>45</v>
      </c>
      <c r="P903" s="4">
        <f t="shared" si="28"/>
        <v>92539.98</v>
      </c>
      <c r="Q903" s="4">
        <f t="shared" si="29"/>
        <v>-31058.420000000006</v>
      </c>
      <c r="R903" t="str">
        <f>IF( Table1[[#This Row],[Total Amount after sale]] &gt; 0,"PROFIT","LOSS")</f>
        <v>LOSS</v>
      </c>
      <c r="S903" s="3">
        <f>(Table1[[#This Row],[Total Amount after sale]]/Table1[[#This Row],[Price after discount]])</f>
        <v>-0.33562164158669588</v>
      </c>
    </row>
    <row r="904" spans="1:19" x14ac:dyDescent="0.3">
      <c r="A904">
        <v>1030</v>
      </c>
      <c r="B904" s="1">
        <v>45256</v>
      </c>
      <c r="C904" s="1">
        <f>DATE(YEAR(Table1[[#This Row],[Sale_Date]]), MONTH(Table1[[#This Row],[Sale_Date]]), 1)</f>
        <v>45231</v>
      </c>
      <c r="D904" t="s">
        <v>42</v>
      </c>
      <c r="E904" t="s">
        <v>21</v>
      </c>
      <c r="F904" s="2">
        <v>8727</v>
      </c>
      <c r="G904">
        <v>39</v>
      </c>
      <c r="H904" t="s">
        <v>35</v>
      </c>
      <c r="I904" s="2">
        <v>2041.75</v>
      </c>
      <c r="J904" s="2">
        <v>2299.37</v>
      </c>
      <c r="K904" t="s">
        <v>17</v>
      </c>
      <c r="L904" s="5">
        <v>0.24</v>
      </c>
      <c r="M904" t="s">
        <v>27</v>
      </c>
      <c r="N904" t="s">
        <v>22</v>
      </c>
      <c r="O904" t="s">
        <v>51</v>
      </c>
      <c r="P904" s="4">
        <f t="shared" si="28"/>
        <v>68153.326799999995</v>
      </c>
      <c r="Q904" s="4">
        <f t="shared" si="29"/>
        <v>-11474.923200000003</v>
      </c>
      <c r="R904" t="str">
        <f>IF( Table1[[#This Row],[Total Amount after sale]] &gt; 0,"PROFIT","LOSS")</f>
        <v>LOSS</v>
      </c>
      <c r="S904" s="3">
        <f>(Table1[[#This Row],[Total Amount after sale]]/Table1[[#This Row],[Price after discount]])</f>
        <v>-0.16836923065654374</v>
      </c>
    </row>
    <row r="905" spans="1:19" x14ac:dyDescent="0.3">
      <c r="A905">
        <v>1051</v>
      </c>
      <c r="B905" s="1">
        <v>45256</v>
      </c>
      <c r="C905" s="1">
        <f>DATE(YEAR(Table1[[#This Row],[Sale_Date]]), MONTH(Table1[[#This Row],[Sale_Date]]), 1)</f>
        <v>45231</v>
      </c>
      <c r="D905" t="s">
        <v>38</v>
      </c>
      <c r="E905" t="s">
        <v>25</v>
      </c>
      <c r="F905" s="2">
        <v>6339.45</v>
      </c>
      <c r="G905">
        <v>8</v>
      </c>
      <c r="H905" t="s">
        <v>26</v>
      </c>
      <c r="I905" s="2">
        <v>3970.37</v>
      </c>
      <c r="J905" s="2">
        <v>4257.5199999999904</v>
      </c>
      <c r="K905" t="s">
        <v>30</v>
      </c>
      <c r="L905" s="5">
        <v>0.11</v>
      </c>
      <c r="M905" t="s">
        <v>18</v>
      </c>
      <c r="N905" t="s">
        <v>22</v>
      </c>
      <c r="O905" t="s">
        <v>39</v>
      </c>
      <c r="P905" s="4">
        <f t="shared" si="28"/>
        <v>30313.542399999933</v>
      </c>
      <c r="Q905" s="4">
        <f t="shared" si="29"/>
        <v>-1449.4176000000662</v>
      </c>
      <c r="R905" t="str">
        <f>IF( Table1[[#This Row],[Total Amount after sale]] &gt; 0,"PROFIT","LOSS")</f>
        <v>LOSS</v>
      </c>
      <c r="S905" s="3">
        <f>(Table1[[#This Row],[Total Amount after sale]]/Table1[[#This Row],[Price after discount]])</f>
        <v>-4.7814194094322325E-2</v>
      </c>
    </row>
    <row r="906" spans="1:19" x14ac:dyDescent="0.3">
      <c r="A906">
        <v>1095</v>
      </c>
      <c r="B906" s="1">
        <v>45256</v>
      </c>
      <c r="C906" s="1">
        <f>DATE(YEAR(Table1[[#This Row],[Sale_Date]]), MONTH(Table1[[#This Row],[Sale_Date]]), 1)</f>
        <v>45231</v>
      </c>
      <c r="D906" t="s">
        <v>33</v>
      </c>
      <c r="E906" t="s">
        <v>21</v>
      </c>
      <c r="F906" s="2">
        <v>8231.74</v>
      </c>
      <c r="G906">
        <v>7</v>
      </c>
      <c r="H906" t="s">
        <v>26</v>
      </c>
      <c r="I906" s="2">
        <v>4257.24</v>
      </c>
      <c r="J906" s="2">
        <v>4355.87</v>
      </c>
      <c r="K906" t="s">
        <v>17</v>
      </c>
      <c r="L906" s="5">
        <v>0.03</v>
      </c>
      <c r="M906" t="s">
        <v>27</v>
      </c>
      <c r="N906" t="s">
        <v>19</v>
      </c>
      <c r="O906" t="s">
        <v>37</v>
      </c>
      <c r="P906" s="4">
        <f t="shared" si="28"/>
        <v>29576.357300000003</v>
      </c>
      <c r="Q906" s="4">
        <f t="shared" si="29"/>
        <v>-224.32269999999698</v>
      </c>
      <c r="R906" t="str">
        <f>IF( Table1[[#This Row],[Total Amount after sale]] &gt; 0,"PROFIT","LOSS")</f>
        <v>LOSS</v>
      </c>
      <c r="S906" s="3">
        <f>(Table1[[#This Row],[Total Amount after sale]]/Table1[[#This Row],[Price after discount]])</f>
        <v>-7.5845276591920592E-3</v>
      </c>
    </row>
    <row r="907" spans="1:19" x14ac:dyDescent="0.3">
      <c r="A907">
        <v>1021</v>
      </c>
      <c r="B907" s="1">
        <v>45257</v>
      </c>
      <c r="C907" s="1">
        <f>DATE(YEAR(Table1[[#This Row],[Sale_Date]]), MONTH(Table1[[#This Row],[Sale_Date]]), 1)</f>
        <v>45231</v>
      </c>
      <c r="D907" t="s">
        <v>42</v>
      </c>
      <c r="E907" t="s">
        <v>25</v>
      </c>
      <c r="F907" s="2">
        <v>6483.84</v>
      </c>
      <c r="G907">
        <v>31</v>
      </c>
      <c r="H907" t="s">
        <v>16</v>
      </c>
      <c r="I907" s="2">
        <v>2254.9899999999998</v>
      </c>
      <c r="J907" s="2">
        <v>2441.79</v>
      </c>
      <c r="K907" t="s">
        <v>17</v>
      </c>
      <c r="L907" s="5">
        <v>0.24</v>
      </c>
      <c r="M907" t="s">
        <v>27</v>
      </c>
      <c r="N907" t="s">
        <v>19</v>
      </c>
      <c r="O907" t="s">
        <v>43</v>
      </c>
      <c r="P907" s="4">
        <f t="shared" si="28"/>
        <v>57528.572399999997</v>
      </c>
      <c r="Q907" s="4">
        <f t="shared" si="29"/>
        <v>-12376.117599999996</v>
      </c>
      <c r="R907" t="str">
        <f>IF( Table1[[#This Row],[Total Amount after sale]] &gt; 0,"PROFIT","LOSS")</f>
        <v>LOSS</v>
      </c>
      <c r="S907" s="3">
        <f>(Table1[[#This Row],[Total Amount after sale]]/Table1[[#This Row],[Price after discount]])</f>
        <v>-0.21512992733329145</v>
      </c>
    </row>
    <row r="908" spans="1:19" x14ac:dyDescent="0.3">
      <c r="A908">
        <v>1044</v>
      </c>
      <c r="B908" s="1">
        <v>45258</v>
      </c>
      <c r="C908" s="1">
        <f>DATE(YEAR(Table1[[#This Row],[Sale_Date]]), MONTH(Table1[[#This Row],[Sale_Date]]), 1)</f>
        <v>45231</v>
      </c>
      <c r="D908" t="s">
        <v>33</v>
      </c>
      <c r="E908" t="s">
        <v>21</v>
      </c>
      <c r="F908" s="2">
        <v>4860.8100000000004</v>
      </c>
      <c r="G908">
        <v>6</v>
      </c>
      <c r="H908" t="s">
        <v>35</v>
      </c>
      <c r="I908" s="2">
        <v>3703.93</v>
      </c>
      <c r="J908" s="2">
        <v>3840.24</v>
      </c>
      <c r="K908" t="s">
        <v>30</v>
      </c>
      <c r="L908" s="5">
        <v>7.0000000000000007E-2</v>
      </c>
      <c r="M908" t="s">
        <v>31</v>
      </c>
      <c r="N908" t="s">
        <v>19</v>
      </c>
      <c r="O908" t="s">
        <v>37</v>
      </c>
      <c r="P908" s="4">
        <f t="shared" si="28"/>
        <v>21428.539199999999</v>
      </c>
      <c r="Q908" s="4">
        <f t="shared" si="29"/>
        <v>-795.04080000000067</v>
      </c>
      <c r="R908" t="str">
        <f>IF( Table1[[#This Row],[Total Amount after sale]] &gt; 0,"PROFIT","LOSS")</f>
        <v>LOSS</v>
      </c>
      <c r="S908" s="3">
        <f>(Table1[[#This Row],[Total Amount after sale]]/Table1[[#This Row],[Price after discount]])</f>
        <v>-3.7101959801347575E-2</v>
      </c>
    </row>
    <row r="909" spans="1:19" x14ac:dyDescent="0.3">
      <c r="A909">
        <v>1005</v>
      </c>
      <c r="B909" s="1">
        <v>45258</v>
      </c>
      <c r="C909" s="1">
        <f>DATE(YEAR(Table1[[#This Row],[Sale_Date]]), MONTH(Table1[[#This Row],[Sale_Date]]), 1)</f>
        <v>45231</v>
      </c>
      <c r="D909" t="s">
        <v>24</v>
      </c>
      <c r="E909" t="s">
        <v>21</v>
      </c>
      <c r="F909" s="2">
        <v>152.6</v>
      </c>
      <c r="G909">
        <v>43</v>
      </c>
      <c r="H909" t="s">
        <v>16</v>
      </c>
      <c r="I909" s="2">
        <v>1200.4000000000001</v>
      </c>
      <c r="J909" s="2">
        <v>1430.45</v>
      </c>
      <c r="K909" t="s">
        <v>30</v>
      </c>
      <c r="L909" s="5">
        <v>0.08</v>
      </c>
      <c r="M909" t="s">
        <v>27</v>
      </c>
      <c r="N909" t="s">
        <v>22</v>
      </c>
      <c r="O909" t="s">
        <v>47</v>
      </c>
      <c r="P909" s="4">
        <f t="shared" si="28"/>
        <v>56588.602000000006</v>
      </c>
      <c r="Q909" s="4">
        <f t="shared" si="29"/>
        <v>4971.4020000000019</v>
      </c>
      <c r="R909" t="str">
        <f>IF( Table1[[#This Row],[Total Amount after sale]] &gt; 0,"PROFIT","LOSS")</f>
        <v>PROFIT</v>
      </c>
      <c r="S909" s="3">
        <f>(Table1[[#This Row],[Total Amount after sale]]/Table1[[#This Row],[Price after discount]])</f>
        <v>8.7851648994615589E-2</v>
      </c>
    </row>
    <row r="910" spans="1:19" x14ac:dyDescent="0.3">
      <c r="A910">
        <v>1089</v>
      </c>
      <c r="B910" s="1">
        <v>45258</v>
      </c>
      <c r="C910" s="1">
        <f>DATE(YEAR(Table1[[#This Row],[Sale_Date]]), MONTH(Table1[[#This Row],[Sale_Date]]), 1)</f>
        <v>45231</v>
      </c>
      <c r="D910" t="s">
        <v>24</v>
      </c>
      <c r="E910" t="s">
        <v>21</v>
      </c>
      <c r="F910" s="2">
        <v>8719.6200000000008</v>
      </c>
      <c r="G910">
        <v>8</v>
      </c>
      <c r="H910" t="s">
        <v>16</v>
      </c>
      <c r="I910" s="2">
        <v>4349.34</v>
      </c>
      <c r="J910" s="2">
        <v>4629.9799999999996</v>
      </c>
      <c r="K910" t="s">
        <v>17</v>
      </c>
      <c r="L910" s="5">
        <v>0.01</v>
      </c>
      <c r="M910" t="s">
        <v>31</v>
      </c>
      <c r="N910" t="s">
        <v>19</v>
      </c>
      <c r="O910" t="s">
        <v>47</v>
      </c>
      <c r="P910" s="4">
        <f t="shared" si="28"/>
        <v>36669.441599999998</v>
      </c>
      <c r="Q910" s="4">
        <f t="shared" si="29"/>
        <v>1874.7215999999971</v>
      </c>
      <c r="R910" t="str">
        <f>IF( Table1[[#This Row],[Total Amount after sale]] &gt; 0,"PROFIT","LOSS")</f>
        <v>PROFIT</v>
      </c>
      <c r="S910" s="3">
        <f>(Table1[[#This Row],[Total Amount after sale]]/Table1[[#This Row],[Price after discount]])</f>
        <v>5.1124901776524387E-2</v>
      </c>
    </row>
    <row r="911" spans="1:19" x14ac:dyDescent="0.3">
      <c r="A911">
        <v>1002</v>
      </c>
      <c r="B911" s="1">
        <v>45259</v>
      </c>
      <c r="C911" s="1">
        <f>DATE(YEAR(Table1[[#This Row],[Sale_Date]]), MONTH(Table1[[#This Row],[Sale_Date]]), 1)</f>
        <v>45231</v>
      </c>
      <c r="D911" t="s">
        <v>24</v>
      </c>
      <c r="E911" t="s">
        <v>15</v>
      </c>
      <c r="F911" s="2">
        <v>333.59</v>
      </c>
      <c r="G911">
        <v>24</v>
      </c>
      <c r="H911" t="s">
        <v>16</v>
      </c>
      <c r="I911" s="2">
        <v>3305.94</v>
      </c>
      <c r="J911" s="2">
        <v>3599.27</v>
      </c>
      <c r="K911" t="s">
        <v>30</v>
      </c>
      <c r="L911" s="5">
        <v>0.09</v>
      </c>
      <c r="M911" t="s">
        <v>31</v>
      </c>
      <c r="N911" t="s">
        <v>22</v>
      </c>
      <c r="O911" t="s">
        <v>45</v>
      </c>
      <c r="P911" s="4">
        <f t="shared" si="28"/>
        <v>78608.056800000006</v>
      </c>
      <c r="Q911" s="4">
        <f t="shared" si="29"/>
        <v>-734.5031999999992</v>
      </c>
      <c r="R911" t="str">
        <f>IF( Table1[[#This Row],[Total Amount after sale]] &gt; 0,"PROFIT","LOSS")</f>
        <v>LOSS</v>
      </c>
      <c r="S911" s="3">
        <f>(Table1[[#This Row],[Total Amount after sale]]/Table1[[#This Row],[Price after discount]])</f>
        <v>-9.3438666454861291E-3</v>
      </c>
    </row>
    <row r="912" spans="1:19" x14ac:dyDescent="0.3">
      <c r="A912">
        <v>1086</v>
      </c>
      <c r="B912" s="1">
        <v>45259</v>
      </c>
      <c r="C912" s="1">
        <f>DATE(YEAR(Table1[[#This Row],[Sale_Date]]), MONTH(Table1[[#This Row],[Sale_Date]]), 1)</f>
        <v>45231</v>
      </c>
      <c r="D912" t="s">
        <v>14</v>
      </c>
      <c r="E912" t="s">
        <v>21</v>
      </c>
      <c r="F912" s="2">
        <v>5127.2700000000004</v>
      </c>
      <c r="G912">
        <v>7</v>
      </c>
      <c r="H912" t="s">
        <v>26</v>
      </c>
      <c r="I912" s="2">
        <v>737.9</v>
      </c>
      <c r="J912" s="2">
        <v>1182</v>
      </c>
      <c r="K912" t="s">
        <v>30</v>
      </c>
      <c r="L912" s="5">
        <v>0.23</v>
      </c>
      <c r="M912" t="s">
        <v>31</v>
      </c>
      <c r="N912" t="s">
        <v>22</v>
      </c>
      <c r="O912" t="s">
        <v>23</v>
      </c>
      <c r="P912" s="4">
        <f t="shared" si="28"/>
        <v>6370.98</v>
      </c>
      <c r="Q912" s="4">
        <f t="shared" si="29"/>
        <v>1205.68</v>
      </c>
      <c r="R912" t="str">
        <f>IF( Table1[[#This Row],[Total Amount after sale]] &gt; 0,"PROFIT","LOSS")</f>
        <v>PROFIT</v>
      </c>
      <c r="S912" s="3">
        <f>(Table1[[#This Row],[Total Amount after sale]]/Table1[[#This Row],[Price after discount]])</f>
        <v>0.18924561056540753</v>
      </c>
    </row>
    <row r="913" spans="1:19" x14ac:dyDescent="0.3">
      <c r="A913">
        <v>1082</v>
      </c>
      <c r="B913" s="1">
        <v>45260</v>
      </c>
      <c r="C913" s="1">
        <f>DATE(YEAR(Table1[[#This Row],[Sale_Date]]), MONTH(Table1[[#This Row],[Sale_Date]]), 1)</f>
        <v>45231</v>
      </c>
      <c r="D913" t="s">
        <v>42</v>
      </c>
      <c r="E913" t="s">
        <v>25</v>
      </c>
      <c r="F913" s="2">
        <v>6261.9</v>
      </c>
      <c r="G913">
        <v>41</v>
      </c>
      <c r="H913" t="s">
        <v>35</v>
      </c>
      <c r="I913" s="2">
        <v>1196.42</v>
      </c>
      <c r="J913" s="2">
        <v>1444.97</v>
      </c>
      <c r="K913" t="s">
        <v>17</v>
      </c>
      <c r="L913" s="5">
        <v>0.21</v>
      </c>
      <c r="M913" t="s">
        <v>27</v>
      </c>
      <c r="N913" t="s">
        <v>19</v>
      </c>
      <c r="O913" t="s">
        <v>43</v>
      </c>
      <c r="P913" s="4">
        <f t="shared" si="28"/>
        <v>46802.578300000001</v>
      </c>
      <c r="Q913" s="4">
        <f t="shared" si="29"/>
        <v>-2250.6417000000033</v>
      </c>
      <c r="R913" t="str">
        <f>IF( Table1[[#This Row],[Total Amount after sale]] &gt; 0,"PROFIT","LOSS")</f>
        <v>LOSS</v>
      </c>
      <c r="S913" s="3">
        <f>(Table1[[#This Row],[Total Amount after sale]]/Table1[[#This Row],[Price after discount]])</f>
        <v>-4.8087985357849465E-2</v>
      </c>
    </row>
    <row r="914" spans="1:19" x14ac:dyDescent="0.3">
      <c r="A914">
        <v>1055</v>
      </c>
      <c r="B914" s="1">
        <v>45261</v>
      </c>
      <c r="C914" s="1">
        <f>DATE(YEAR(Table1[[#This Row],[Sale_Date]]), MONTH(Table1[[#This Row],[Sale_Date]]), 1)</f>
        <v>45261</v>
      </c>
      <c r="D914" t="s">
        <v>33</v>
      </c>
      <c r="E914" t="s">
        <v>21</v>
      </c>
      <c r="F914" s="2">
        <v>4102.47</v>
      </c>
      <c r="G914">
        <v>8</v>
      </c>
      <c r="H914" t="s">
        <v>16</v>
      </c>
      <c r="I914" s="2">
        <v>3513</v>
      </c>
      <c r="J914" s="2">
        <v>3838.42</v>
      </c>
      <c r="K914" t="s">
        <v>17</v>
      </c>
      <c r="L914" s="5">
        <v>0.13</v>
      </c>
      <c r="M914" t="s">
        <v>27</v>
      </c>
      <c r="N914" t="s">
        <v>19</v>
      </c>
      <c r="O914" t="s">
        <v>37</v>
      </c>
      <c r="P914" s="4">
        <f t="shared" si="28"/>
        <v>26715.403200000001</v>
      </c>
      <c r="Q914" s="4">
        <f t="shared" si="29"/>
        <v>-1388.5967999999993</v>
      </c>
      <c r="R914" t="str">
        <f>IF( Table1[[#This Row],[Total Amount after sale]] &gt; 0,"PROFIT","LOSS")</f>
        <v>LOSS</v>
      </c>
      <c r="S914" s="3">
        <f>(Table1[[#This Row],[Total Amount after sale]]/Table1[[#This Row],[Price after discount]])</f>
        <v>-5.1977385091459119E-2</v>
      </c>
    </row>
    <row r="915" spans="1:19" x14ac:dyDescent="0.3">
      <c r="A915">
        <v>1073</v>
      </c>
      <c r="B915" s="1">
        <v>45261</v>
      </c>
      <c r="C915" s="1">
        <f>DATE(YEAR(Table1[[#This Row],[Sale_Date]]), MONTH(Table1[[#This Row],[Sale_Date]]), 1)</f>
        <v>45261</v>
      </c>
      <c r="D915" t="s">
        <v>24</v>
      </c>
      <c r="E915" t="s">
        <v>21</v>
      </c>
      <c r="F915" s="2">
        <v>5238.42</v>
      </c>
      <c r="G915">
        <v>40</v>
      </c>
      <c r="H915" t="s">
        <v>16</v>
      </c>
      <c r="I915" s="2">
        <v>2565.3000000000002</v>
      </c>
      <c r="J915" s="2">
        <v>3007.47</v>
      </c>
      <c r="K915" t="s">
        <v>17</v>
      </c>
      <c r="L915" s="5">
        <v>0.17</v>
      </c>
      <c r="M915" t="s">
        <v>31</v>
      </c>
      <c r="N915" t="s">
        <v>22</v>
      </c>
      <c r="O915" t="s">
        <v>47</v>
      </c>
      <c r="P915" s="4">
        <f t="shared" si="28"/>
        <v>99848.003999999986</v>
      </c>
      <c r="Q915" s="4">
        <f t="shared" si="29"/>
        <v>-2763.9960000000247</v>
      </c>
      <c r="R915" t="str">
        <f>IF( Table1[[#This Row],[Total Amount after sale]] &gt; 0,"PROFIT","LOSS")</f>
        <v>LOSS</v>
      </c>
      <c r="S915" s="3">
        <f>(Table1[[#This Row],[Total Amount after sale]]/Table1[[#This Row],[Price after discount]])</f>
        <v>-2.7682035586810778E-2</v>
      </c>
    </row>
    <row r="916" spans="1:19" x14ac:dyDescent="0.3">
      <c r="A916">
        <v>1096</v>
      </c>
      <c r="B916" s="1">
        <v>45261</v>
      </c>
      <c r="C916" s="1">
        <f>DATE(YEAR(Table1[[#This Row],[Sale_Date]]), MONTH(Table1[[#This Row],[Sale_Date]]), 1)</f>
        <v>45261</v>
      </c>
      <c r="D916" t="s">
        <v>14</v>
      </c>
      <c r="E916" t="s">
        <v>34</v>
      </c>
      <c r="F916" s="2">
        <v>2962.96</v>
      </c>
      <c r="G916">
        <v>20</v>
      </c>
      <c r="H916" t="s">
        <v>16</v>
      </c>
      <c r="I916" s="2">
        <v>1994.9</v>
      </c>
      <c r="J916" s="2">
        <v>2066.5</v>
      </c>
      <c r="K916" t="s">
        <v>17</v>
      </c>
      <c r="L916" s="5">
        <v>0.06</v>
      </c>
      <c r="M916" t="s">
        <v>27</v>
      </c>
      <c r="N916" t="s">
        <v>19</v>
      </c>
      <c r="O916" t="s">
        <v>46</v>
      </c>
      <c r="P916" s="4">
        <f t="shared" si="28"/>
        <v>38850.199999999997</v>
      </c>
      <c r="Q916" s="4">
        <f t="shared" si="29"/>
        <v>-1047.800000000002</v>
      </c>
      <c r="R916" t="str">
        <f>IF( Table1[[#This Row],[Total Amount after sale]] &gt; 0,"PROFIT","LOSS")</f>
        <v>LOSS</v>
      </c>
      <c r="S916" s="3">
        <f>(Table1[[#This Row],[Total Amount after sale]]/Table1[[#This Row],[Price after discount]])</f>
        <v>-2.6970260127361045E-2</v>
      </c>
    </row>
    <row r="917" spans="1:19" x14ac:dyDescent="0.3">
      <c r="A917">
        <v>1100</v>
      </c>
      <c r="B917" s="1">
        <v>45261</v>
      </c>
      <c r="C917" s="1">
        <f>DATE(YEAR(Table1[[#This Row],[Sale_Date]]), MONTH(Table1[[#This Row],[Sale_Date]]), 1)</f>
        <v>45261</v>
      </c>
      <c r="D917" t="s">
        <v>42</v>
      </c>
      <c r="E917" t="s">
        <v>34</v>
      </c>
      <c r="F917" s="2">
        <v>1387.8</v>
      </c>
      <c r="G917">
        <v>34</v>
      </c>
      <c r="H917" t="s">
        <v>16</v>
      </c>
      <c r="I917" s="2">
        <v>4991.09</v>
      </c>
      <c r="J917" s="2">
        <v>5402.28</v>
      </c>
      <c r="K917" t="s">
        <v>17</v>
      </c>
      <c r="L917" s="5">
        <v>0</v>
      </c>
      <c r="M917" t="s">
        <v>18</v>
      </c>
      <c r="N917" t="s">
        <v>22</v>
      </c>
      <c r="O917" t="s">
        <v>52</v>
      </c>
      <c r="P917" s="4">
        <f t="shared" si="28"/>
        <v>183677.52</v>
      </c>
      <c r="Q917" s="4">
        <f t="shared" si="29"/>
        <v>13980.459999999986</v>
      </c>
      <c r="R917" t="str">
        <f>IF( Table1[[#This Row],[Total Amount after sale]] &gt; 0,"PROFIT","LOSS")</f>
        <v>PROFIT</v>
      </c>
      <c r="S917" s="3">
        <f>(Table1[[#This Row],[Total Amount after sale]]/Table1[[#This Row],[Price after discount]])</f>
        <v>7.6114159206853327E-2</v>
      </c>
    </row>
    <row r="918" spans="1:19" x14ac:dyDescent="0.3">
      <c r="A918">
        <v>1077</v>
      </c>
      <c r="B918" s="1">
        <v>45262</v>
      </c>
      <c r="C918" s="1">
        <f>DATE(YEAR(Table1[[#This Row],[Sale_Date]]), MONTH(Table1[[#This Row],[Sale_Date]]), 1)</f>
        <v>45261</v>
      </c>
      <c r="D918" t="s">
        <v>24</v>
      </c>
      <c r="E918" t="s">
        <v>34</v>
      </c>
      <c r="F918" s="2">
        <v>1960.41</v>
      </c>
      <c r="G918">
        <v>24</v>
      </c>
      <c r="H918" t="s">
        <v>35</v>
      </c>
      <c r="I918" s="2">
        <v>2258.54</v>
      </c>
      <c r="J918" s="2">
        <v>2439.4899999999998</v>
      </c>
      <c r="K918" t="s">
        <v>17</v>
      </c>
      <c r="L918" s="5">
        <v>0.2</v>
      </c>
      <c r="M918" t="s">
        <v>31</v>
      </c>
      <c r="N918" t="s">
        <v>22</v>
      </c>
      <c r="O918" t="s">
        <v>50</v>
      </c>
      <c r="P918" s="4">
        <f t="shared" si="28"/>
        <v>46838.207999999999</v>
      </c>
      <c r="Q918" s="4">
        <f t="shared" si="29"/>
        <v>-7366.7520000000022</v>
      </c>
      <c r="R918" t="str">
        <f>IF( Table1[[#This Row],[Total Amount after sale]] &gt; 0,"PROFIT","LOSS")</f>
        <v>LOSS</v>
      </c>
      <c r="S918" s="3">
        <f>(Table1[[#This Row],[Total Amount after sale]]/Table1[[#This Row],[Price after discount]])</f>
        <v>-0.15728082509049027</v>
      </c>
    </row>
    <row r="919" spans="1:19" x14ac:dyDescent="0.3">
      <c r="A919">
        <v>1011</v>
      </c>
      <c r="B919" s="1">
        <v>45263</v>
      </c>
      <c r="C919" s="1">
        <f>DATE(YEAR(Table1[[#This Row],[Sale_Date]]), MONTH(Table1[[#This Row],[Sale_Date]]), 1)</f>
        <v>45261</v>
      </c>
      <c r="D919" t="s">
        <v>14</v>
      </c>
      <c r="E919" t="s">
        <v>34</v>
      </c>
      <c r="F919" s="2">
        <v>8186.12</v>
      </c>
      <c r="G919">
        <v>13</v>
      </c>
      <c r="H919" t="s">
        <v>35</v>
      </c>
      <c r="I919" s="2">
        <v>1442.69</v>
      </c>
      <c r="J919" s="2">
        <v>1882.57</v>
      </c>
      <c r="K919" t="s">
        <v>17</v>
      </c>
      <c r="L919" s="5">
        <v>0.28000000000000003</v>
      </c>
      <c r="M919" t="s">
        <v>18</v>
      </c>
      <c r="N919" t="s">
        <v>19</v>
      </c>
      <c r="O919" t="s">
        <v>46</v>
      </c>
      <c r="P919" s="4">
        <f t="shared" si="28"/>
        <v>17620.855199999998</v>
      </c>
      <c r="Q919" s="4">
        <f t="shared" si="29"/>
        <v>-1134.1148000000014</v>
      </c>
      <c r="R919" t="str">
        <f>IF( Table1[[#This Row],[Total Amount after sale]] &gt; 0,"PROFIT","LOSS")</f>
        <v>LOSS</v>
      </c>
      <c r="S919" s="3">
        <f>(Table1[[#This Row],[Total Amount after sale]]/Table1[[#This Row],[Price after discount]])</f>
        <v>-6.4362074776030259E-2</v>
      </c>
    </row>
    <row r="920" spans="1:19" x14ac:dyDescent="0.3">
      <c r="A920">
        <v>1092</v>
      </c>
      <c r="B920" s="1">
        <v>45263</v>
      </c>
      <c r="C920" s="1">
        <f>DATE(YEAR(Table1[[#This Row],[Sale_Date]]), MONTH(Table1[[#This Row],[Sale_Date]]), 1)</f>
        <v>45261</v>
      </c>
      <c r="D920" t="s">
        <v>24</v>
      </c>
      <c r="E920" t="s">
        <v>34</v>
      </c>
      <c r="F920" s="2">
        <v>719.01</v>
      </c>
      <c r="G920">
        <v>6</v>
      </c>
      <c r="H920" t="s">
        <v>29</v>
      </c>
      <c r="I920" s="2">
        <v>422.74</v>
      </c>
      <c r="J920" s="2">
        <v>737.49</v>
      </c>
      <c r="K920" t="s">
        <v>17</v>
      </c>
      <c r="L920" s="5">
        <v>0.19</v>
      </c>
      <c r="M920" t="s">
        <v>31</v>
      </c>
      <c r="N920" t="s">
        <v>22</v>
      </c>
      <c r="O920" t="s">
        <v>50</v>
      </c>
      <c r="P920" s="4">
        <f t="shared" si="28"/>
        <v>3584.2014000000008</v>
      </c>
      <c r="Q920" s="4">
        <f t="shared" si="29"/>
        <v>1047.7614000000005</v>
      </c>
      <c r="R920" t="str">
        <f>IF( Table1[[#This Row],[Total Amount after sale]] &gt; 0,"PROFIT","LOSS")</f>
        <v>PROFIT</v>
      </c>
      <c r="S920" s="3">
        <f>(Table1[[#This Row],[Total Amount after sale]]/Table1[[#This Row],[Price after discount]])</f>
        <v>0.29232771350404591</v>
      </c>
    </row>
    <row r="921" spans="1:19" x14ac:dyDescent="0.3">
      <c r="A921">
        <v>1069</v>
      </c>
      <c r="B921" s="1">
        <v>45263</v>
      </c>
      <c r="C921" s="1">
        <f>DATE(YEAR(Table1[[#This Row],[Sale_Date]]), MONTH(Table1[[#This Row],[Sale_Date]]), 1)</f>
        <v>45261</v>
      </c>
      <c r="D921" t="s">
        <v>24</v>
      </c>
      <c r="E921" t="s">
        <v>15</v>
      </c>
      <c r="F921" s="2">
        <v>6521.53</v>
      </c>
      <c r="G921">
        <v>35</v>
      </c>
      <c r="H921" t="s">
        <v>35</v>
      </c>
      <c r="I921" s="2">
        <v>2885.16</v>
      </c>
      <c r="J921" s="2">
        <v>3224.8399999999901</v>
      </c>
      <c r="K921" t="s">
        <v>30</v>
      </c>
      <c r="L921" s="5">
        <v>0.14000000000000001</v>
      </c>
      <c r="M921" t="s">
        <v>18</v>
      </c>
      <c r="N921" t="s">
        <v>19</v>
      </c>
      <c r="O921" t="s">
        <v>45</v>
      </c>
      <c r="P921" s="4">
        <f t="shared" si="28"/>
        <v>97067.683999999703</v>
      </c>
      <c r="Q921" s="4">
        <f t="shared" si="29"/>
        <v>-3912.916000000298</v>
      </c>
      <c r="R921" t="str">
        <f>IF( Table1[[#This Row],[Total Amount after sale]] &gt; 0,"PROFIT","LOSS")</f>
        <v>LOSS</v>
      </c>
      <c r="S921" s="3">
        <f>(Table1[[#This Row],[Total Amount after sale]]/Table1[[#This Row],[Price after discount]])</f>
        <v>-4.0311212122876139E-2</v>
      </c>
    </row>
    <row r="922" spans="1:19" x14ac:dyDescent="0.3">
      <c r="A922">
        <v>1014</v>
      </c>
      <c r="B922" s="1">
        <v>45264</v>
      </c>
      <c r="C922" s="1">
        <f>DATE(YEAR(Table1[[#This Row],[Sale_Date]]), MONTH(Table1[[#This Row],[Sale_Date]]), 1)</f>
        <v>45261</v>
      </c>
      <c r="D922" t="s">
        <v>14</v>
      </c>
      <c r="E922" t="s">
        <v>21</v>
      </c>
      <c r="F922" s="2">
        <v>758.99</v>
      </c>
      <c r="G922">
        <v>49</v>
      </c>
      <c r="H922" t="s">
        <v>16</v>
      </c>
      <c r="I922" s="2">
        <v>493.35</v>
      </c>
      <c r="J922" s="2">
        <v>799.27</v>
      </c>
      <c r="K922" t="s">
        <v>30</v>
      </c>
      <c r="L922" s="5">
        <v>0.1</v>
      </c>
      <c r="M922" t="s">
        <v>27</v>
      </c>
      <c r="N922" t="s">
        <v>19</v>
      </c>
      <c r="O922" t="s">
        <v>23</v>
      </c>
      <c r="P922" s="4">
        <f t="shared" si="28"/>
        <v>35247.807000000001</v>
      </c>
      <c r="Q922" s="4">
        <f t="shared" si="29"/>
        <v>11073.656999999997</v>
      </c>
      <c r="R922" t="str">
        <f>IF( Table1[[#This Row],[Total Amount after sale]] &gt; 0,"PROFIT","LOSS")</f>
        <v>PROFIT</v>
      </c>
      <c r="S922" s="3">
        <f>(Table1[[#This Row],[Total Amount after sale]]/Table1[[#This Row],[Price after discount]])</f>
        <v>0.31416584299840261</v>
      </c>
    </row>
    <row r="923" spans="1:19" x14ac:dyDescent="0.3">
      <c r="A923">
        <v>1063</v>
      </c>
      <c r="B923" s="1">
        <v>45264</v>
      </c>
      <c r="C923" s="1">
        <f>DATE(YEAR(Table1[[#This Row],[Sale_Date]]), MONTH(Table1[[#This Row],[Sale_Date]]), 1)</f>
        <v>45261</v>
      </c>
      <c r="D923" t="s">
        <v>24</v>
      </c>
      <c r="E923" t="s">
        <v>25</v>
      </c>
      <c r="F923" s="2">
        <v>2186.85</v>
      </c>
      <c r="G923">
        <v>14</v>
      </c>
      <c r="H923" t="s">
        <v>29</v>
      </c>
      <c r="I923" s="2">
        <v>2188.35</v>
      </c>
      <c r="J923" s="2">
        <v>2605.3599999999901</v>
      </c>
      <c r="K923" t="s">
        <v>17</v>
      </c>
      <c r="L923" s="5">
        <v>0.2</v>
      </c>
      <c r="M923" t="s">
        <v>31</v>
      </c>
      <c r="N923" t="s">
        <v>22</v>
      </c>
      <c r="O923" t="s">
        <v>28</v>
      </c>
      <c r="P923" s="4">
        <f t="shared" si="28"/>
        <v>29180.03199999989</v>
      </c>
      <c r="Q923" s="4">
        <f t="shared" si="29"/>
        <v>-1456.8680000001068</v>
      </c>
      <c r="R923" t="str">
        <f>IF( Table1[[#This Row],[Total Amount after sale]] &gt; 0,"PROFIT","LOSS")</f>
        <v>LOSS</v>
      </c>
      <c r="S923" s="3">
        <f>(Table1[[#This Row],[Total Amount after sale]]/Table1[[#This Row],[Price after discount]])</f>
        <v>-4.9926881505822619E-2</v>
      </c>
    </row>
    <row r="924" spans="1:19" x14ac:dyDescent="0.3">
      <c r="A924">
        <v>1008</v>
      </c>
      <c r="B924" s="1">
        <v>45265</v>
      </c>
      <c r="C924" s="1">
        <f>DATE(YEAR(Table1[[#This Row],[Sale_Date]]), MONTH(Table1[[#This Row],[Sale_Date]]), 1)</f>
        <v>45261</v>
      </c>
      <c r="D924" t="s">
        <v>33</v>
      </c>
      <c r="E924" t="s">
        <v>34</v>
      </c>
      <c r="F924" s="2">
        <v>9583.5499999999993</v>
      </c>
      <c r="G924">
        <v>27</v>
      </c>
      <c r="H924" t="s">
        <v>35</v>
      </c>
      <c r="I924" s="2">
        <v>68.989999999999995</v>
      </c>
      <c r="J924" s="2">
        <v>429.29</v>
      </c>
      <c r="K924" t="s">
        <v>17</v>
      </c>
      <c r="L924" s="5">
        <v>0.18</v>
      </c>
      <c r="M924" t="s">
        <v>31</v>
      </c>
      <c r="N924" t="s">
        <v>22</v>
      </c>
      <c r="O924" t="s">
        <v>36</v>
      </c>
      <c r="P924" s="4">
        <f t="shared" si="28"/>
        <v>9504.4806000000008</v>
      </c>
      <c r="Q924" s="4">
        <f t="shared" si="29"/>
        <v>7641.7506000000003</v>
      </c>
      <c r="R924" t="str">
        <f>IF( Table1[[#This Row],[Total Amount after sale]] &gt; 0,"PROFIT","LOSS")</f>
        <v>PROFIT</v>
      </c>
      <c r="S924" s="3">
        <f>(Table1[[#This Row],[Total Amount after sale]]/Table1[[#This Row],[Price after discount]])</f>
        <v>0.8040155923933392</v>
      </c>
    </row>
    <row r="925" spans="1:19" x14ac:dyDescent="0.3">
      <c r="A925">
        <v>1094</v>
      </c>
      <c r="B925" s="1">
        <v>45265</v>
      </c>
      <c r="C925" s="1">
        <f>DATE(YEAR(Table1[[#This Row],[Sale_Date]]), MONTH(Table1[[#This Row],[Sale_Date]]), 1)</f>
        <v>45261</v>
      </c>
      <c r="D925" t="s">
        <v>38</v>
      </c>
      <c r="E925" t="s">
        <v>34</v>
      </c>
      <c r="F925" s="2">
        <v>8264.9599999999991</v>
      </c>
      <c r="G925">
        <v>12</v>
      </c>
      <c r="H925" t="s">
        <v>16</v>
      </c>
      <c r="I925" s="2">
        <v>333.32</v>
      </c>
      <c r="J925" s="2">
        <v>700.25</v>
      </c>
      <c r="K925" t="s">
        <v>17</v>
      </c>
      <c r="L925" s="5">
        <v>0.14000000000000001</v>
      </c>
      <c r="M925" t="s">
        <v>18</v>
      </c>
      <c r="N925" t="s">
        <v>19</v>
      </c>
      <c r="O925" t="s">
        <v>48</v>
      </c>
      <c r="P925" s="4">
        <f t="shared" si="28"/>
        <v>7226.58</v>
      </c>
      <c r="Q925" s="4">
        <f t="shared" si="29"/>
        <v>3226.7400000000007</v>
      </c>
      <c r="R925" t="str">
        <f>IF( Table1[[#This Row],[Total Amount after sale]] &gt; 0,"PROFIT","LOSS")</f>
        <v>PROFIT</v>
      </c>
      <c r="S925" s="3">
        <f>(Table1[[#This Row],[Total Amount after sale]]/Table1[[#This Row],[Price after discount]])</f>
        <v>0.44650996737045751</v>
      </c>
    </row>
    <row r="926" spans="1:19" x14ac:dyDescent="0.3">
      <c r="A926">
        <v>1073</v>
      </c>
      <c r="B926" s="1">
        <v>45266</v>
      </c>
      <c r="C926" s="1">
        <f>DATE(YEAR(Table1[[#This Row],[Sale_Date]]), MONTH(Table1[[#This Row],[Sale_Date]]), 1)</f>
        <v>45261</v>
      </c>
      <c r="D926" t="s">
        <v>42</v>
      </c>
      <c r="E926" t="s">
        <v>15</v>
      </c>
      <c r="F926" s="2">
        <v>2273.58</v>
      </c>
      <c r="G926">
        <v>31</v>
      </c>
      <c r="H926" t="s">
        <v>26</v>
      </c>
      <c r="I926" s="2">
        <v>4368.97</v>
      </c>
      <c r="J926" s="2">
        <v>4696.8500000000004</v>
      </c>
      <c r="K926" t="s">
        <v>17</v>
      </c>
      <c r="L926" s="5">
        <v>0.25</v>
      </c>
      <c r="M926" t="s">
        <v>27</v>
      </c>
      <c r="N926" t="s">
        <v>22</v>
      </c>
      <c r="O926" t="s">
        <v>49</v>
      </c>
      <c r="P926" s="4">
        <f t="shared" si="28"/>
        <v>109201.76250000001</v>
      </c>
      <c r="Q926" s="4">
        <f t="shared" si="29"/>
        <v>-26236.307499999999</v>
      </c>
      <c r="R926" t="str">
        <f>IF( Table1[[#This Row],[Total Amount after sale]] &gt; 0,"PROFIT","LOSS")</f>
        <v>LOSS</v>
      </c>
      <c r="S926" s="3">
        <f>(Table1[[#This Row],[Total Amount after sale]]/Table1[[#This Row],[Price after discount]])</f>
        <v>-0.24025534844275059</v>
      </c>
    </row>
    <row r="927" spans="1:19" x14ac:dyDescent="0.3">
      <c r="A927">
        <v>1085</v>
      </c>
      <c r="B927" s="1">
        <v>45266</v>
      </c>
      <c r="C927" s="1">
        <f>DATE(YEAR(Table1[[#This Row],[Sale_Date]]), MONTH(Table1[[#This Row],[Sale_Date]]), 1)</f>
        <v>45261</v>
      </c>
      <c r="D927" t="s">
        <v>38</v>
      </c>
      <c r="E927" t="s">
        <v>15</v>
      </c>
      <c r="F927" s="2">
        <v>397.26</v>
      </c>
      <c r="G927">
        <v>42</v>
      </c>
      <c r="H927" t="s">
        <v>35</v>
      </c>
      <c r="I927" s="2">
        <v>3117.75</v>
      </c>
      <c r="J927" s="2">
        <v>3159.88</v>
      </c>
      <c r="K927" t="s">
        <v>30</v>
      </c>
      <c r="L927" s="5">
        <v>0.04</v>
      </c>
      <c r="M927" t="s">
        <v>18</v>
      </c>
      <c r="N927" t="s">
        <v>22</v>
      </c>
      <c r="O927" t="s">
        <v>40</v>
      </c>
      <c r="P927" s="4">
        <f t="shared" si="28"/>
        <v>127406.3616</v>
      </c>
      <c r="Q927" s="4">
        <f t="shared" si="29"/>
        <v>-3539.1383999999925</v>
      </c>
      <c r="R927" t="str">
        <f>IF( Table1[[#This Row],[Total Amount after sale]] &gt; 0,"PROFIT","LOSS")</f>
        <v>LOSS</v>
      </c>
      <c r="S927" s="3">
        <f>(Table1[[#This Row],[Total Amount after sale]]/Table1[[#This Row],[Price after discount]])</f>
        <v>-2.7778349177816821E-2</v>
      </c>
    </row>
    <row r="928" spans="1:19" x14ac:dyDescent="0.3">
      <c r="A928">
        <v>1099</v>
      </c>
      <c r="B928" s="1">
        <v>45267</v>
      </c>
      <c r="C928" s="1">
        <f>DATE(YEAR(Table1[[#This Row],[Sale_Date]]), MONTH(Table1[[#This Row],[Sale_Date]]), 1)</f>
        <v>45261</v>
      </c>
      <c r="D928" t="s">
        <v>14</v>
      </c>
      <c r="E928" t="s">
        <v>34</v>
      </c>
      <c r="F928" s="2">
        <v>3043.18</v>
      </c>
      <c r="G928">
        <v>22</v>
      </c>
      <c r="H928" t="s">
        <v>16</v>
      </c>
      <c r="I928" s="2">
        <v>2471.67</v>
      </c>
      <c r="J928" s="2">
        <v>2533.04</v>
      </c>
      <c r="K928" t="s">
        <v>17</v>
      </c>
      <c r="L928" s="5">
        <v>0.02</v>
      </c>
      <c r="M928" t="s">
        <v>27</v>
      </c>
      <c r="N928" t="s">
        <v>22</v>
      </c>
      <c r="O928" t="s">
        <v>46</v>
      </c>
      <c r="P928" s="4">
        <f t="shared" si="28"/>
        <v>54612.342399999994</v>
      </c>
      <c r="Q928" s="4">
        <f t="shared" si="29"/>
        <v>235.60239999999521</v>
      </c>
      <c r="R928" t="str">
        <f>IF( Table1[[#This Row],[Total Amount after sale]] &gt; 0,"PROFIT","LOSS")</f>
        <v>PROFIT</v>
      </c>
      <c r="S928" s="3">
        <f>(Table1[[#This Row],[Total Amount after sale]]/Table1[[#This Row],[Price after discount]])</f>
        <v>4.3140870661499998E-3</v>
      </c>
    </row>
    <row r="929" spans="1:19" x14ac:dyDescent="0.3">
      <c r="A929">
        <v>1031</v>
      </c>
      <c r="B929" s="1">
        <v>45268</v>
      </c>
      <c r="C929" s="1">
        <f>DATE(YEAR(Table1[[#This Row],[Sale_Date]]), MONTH(Table1[[#This Row],[Sale_Date]]), 1)</f>
        <v>45261</v>
      </c>
      <c r="D929" t="s">
        <v>24</v>
      </c>
      <c r="E929" t="s">
        <v>15</v>
      </c>
      <c r="F929" s="2">
        <v>7567.06</v>
      </c>
      <c r="G929">
        <v>22</v>
      </c>
      <c r="H929" t="s">
        <v>26</v>
      </c>
      <c r="I929" s="2">
        <v>4236.05</v>
      </c>
      <c r="J929" s="2">
        <v>4382.32</v>
      </c>
      <c r="K929" t="s">
        <v>30</v>
      </c>
      <c r="L929" s="5">
        <v>0.2</v>
      </c>
      <c r="M929" t="s">
        <v>27</v>
      </c>
      <c r="N929" t="s">
        <v>19</v>
      </c>
      <c r="O929" t="s">
        <v>45</v>
      </c>
      <c r="P929" s="4">
        <f t="shared" si="28"/>
        <v>77128.831999999995</v>
      </c>
      <c r="Q929" s="4">
        <f t="shared" si="29"/>
        <v>-16064.268000000009</v>
      </c>
      <c r="R929" t="str">
        <f>IF( Table1[[#This Row],[Total Amount after sale]] &gt; 0,"PROFIT","LOSS")</f>
        <v>LOSS</v>
      </c>
      <c r="S929" s="3">
        <f>(Table1[[#This Row],[Total Amount after sale]]/Table1[[#This Row],[Price after discount]])</f>
        <v>-0.20827837766297316</v>
      </c>
    </row>
    <row r="930" spans="1:19" x14ac:dyDescent="0.3">
      <c r="A930">
        <v>1095</v>
      </c>
      <c r="B930" s="1">
        <v>45268</v>
      </c>
      <c r="C930" s="1">
        <f>DATE(YEAR(Table1[[#This Row],[Sale_Date]]), MONTH(Table1[[#This Row],[Sale_Date]]), 1)</f>
        <v>45261</v>
      </c>
      <c r="D930" t="s">
        <v>38</v>
      </c>
      <c r="E930" t="s">
        <v>34</v>
      </c>
      <c r="F930" s="2">
        <v>3801.82</v>
      </c>
      <c r="G930">
        <v>4</v>
      </c>
      <c r="H930" t="s">
        <v>29</v>
      </c>
      <c r="I930" s="2">
        <v>3191.05</v>
      </c>
      <c r="J930" s="2">
        <v>3555.35</v>
      </c>
      <c r="K930" t="s">
        <v>30</v>
      </c>
      <c r="L930" s="5">
        <v>0.28000000000000003</v>
      </c>
      <c r="M930" t="s">
        <v>31</v>
      </c>
      <c r="N930" t="s">
        <v>19</v>
      </c>
      <c r="O930" t="s">
        <v>48</v>
      </c>
      <c r="P930" s="4">
        <f t="shared" si="28"/>
        <v>10239.407999999999</v>
      </c>
      <c r="Q930" s="4">
        <f t="shared" si="29"/>
        <v>-2524.7920000000013</v>
      </c>
      <c r="R930" t="str">
        <f>IF( Table1[[#This Row],[Total Amount after sale]] &gt; 0,"PROFIT","LOSS")</f>
        <v>LOSS</v>
      </c>
      <c r="S930" s="3">
        <f>(Table1[[#This Row],[Total Amount after sale]]/Table1[[#This Row],[Price after discount]])</f>
        <v>-0.24657597392349259</v>
      </c>
    </row>
    <row r="931" spans="1:19" x14ac:dyDescent="0.3">
      <c r="A931">
        <v>1008</v>
      </c>
      <c r="B931" s="1">
        <v>45268</v>
      </c>
      <c r="C931" s="1">
        <f>DATE(YEAR(Table1[[#This Row],[Sale_Date]]), MONTH(Table1[[#This Row],[Sale_Date]]), 1)</f>
        <v>45261</v>
      </c>
      <c r="D931" t="s">
        <v>42</v>
      </c>
      <c r="E931" t="s">
        <v>25</v>
      </c>
      <c r="F931" s="2">
        <v>3197.78</v>
      </c>
      <c r="G931">
        <v>49</v>
      </c>
      <c r="H931" t="s">
        <v>35</v>
      </c>
      <c r="I931" s="2">
        <v>2907.22</v>
      </c>
      <c r="J931" s="2">
        <v>3385.6099999999901</v>
      </c>
      <c r="K931" t="s">
        <v>30</v>
      </c>
      <c r="L931" s="5">
        <v>0.13</v>
      </c>
      <c r="M931" t="s">
        <v>18</v>
      </c>
      <c r="N931" t="s">
        <v>19</v>
      </c>
      <c r="O931" t="s">
        <v>43</v>
      </c>
      <c r="P931" s="4">
        <f t="shared" si="28"/>
        <v>144328.55429999958</v>
      </c>
      <c r="Q931" s="4">
        <f t="shared" si="29"/>
        <v>1874.7742999995899</v>
      </c>
      <c r="R931" t="str">
        <f>IF( Table1[[#This Row],[Total Amount after sale]] &gt; 0,"PROFIT","LOSS")</f>
        <v>PROFIT</v>
      </c>
      <c r="S931" s="3">
        <f>(Table1[[#This Row],[Total Amount after sale]]/Table1[[#This Row],[Price after discount]])</f>
        <v>1.2989628484067725E-2</v>
      </c>
    </row>
    <row r="932" spans="1:19" x14ac:dyDescent="0.3">
      <c r="A932">
        <v>1020</v>
      </c>
      <c r="B932" s="1">
        <v>45270</v>
      </c>
      <c r="C932" s="1">
        <f>DATE(YEAR(Table1[[#This Row],[Sale_Date]]), MONTH(Table1[[#This Row],[Sale_Date]]), 1)</f>
        <v>45261</v>
      </c>
      <c r="D932" t="s">
        <v>14</v>
      </c>
      <c r="E932" t="s">
        <v>15</v>
      </c>
      <c r="F932" s="2">
        <v>9671.77</v>
      </c>
      <c r="G932">
        <v>45</v>
      </c>
      <c r="H932" t="s">
        <v>35</v>
      </c>
      <c r="I932" s="2">
        <v>4268.45</v>
      </c>
      <c r="J932" s="2">
        <v>4551.5999999999904</v>
      </c>
      <c r="K932" t="s">
        <v>30</v>
      </c>
      <c r="L932" s="5">
        <v>0.08</v>
      </c>
      <c r="M932" t="s">
        <v>27</v>
      </c>
      <c r="N932" t="s">
        <v>19</v>
      </c>
      <c r="O932" t="s">
        <v>20</v>
      </c>
      <c r="P932" s="4">
        <f t="shared" si="28"/>
        <v>188436.23999999961</v>
      </c>
      <c r="Q932" s="4">
        <f t="shared" si="29"/>
        <v>-3644.0100000003713</v>
      </c>
      <c r="R932" t="str">
        <f>IF( Table1[[#This Row],[Total Amount after sale]] &gt; 0,"PROFIT","LOSS")</f>
        <v>LOSS</v>
      </c>
      <c r="S932" s="3">
        <f>(Table1[[#This Row],[Total Amount after sale]]/Table1[[#This Row],[Price after discount]])</f>
        <v>-1.9338159156648313E-2</v>
      </c>
    </row>
    <row r="933" spans="1:19" x14ac:dyDescent="0.3">
      <c r="A933">
        <v>1037</v>
      </c>
      <c r="B933" s="1">
        <v>45270</v>
      </c>
      <c r="C933" s="1">
        <f>DATE(YEAR(Table1[[#This Row],[Sale_Date]]), MONTH(Table1[[#This Row],[Sale_Date]]), 1)</f>
        <v>45261</v>
      </c>
      <c r="D933" t="s">
        <v>14</v>
      </c>
      <c r="E933" t="s">
        <v>15</v>
      </c>
      <c r="F933" s="2">
        <v>6351.05</v>
      </c>
      <c r="G933">
        <v>32</v>
      </c>
      <c r="H933" t="s">
        <v>35</v>
      </c>
      <c r="I933" s="2">
        <v>2594.08</v>
      </c>
      <c r="J933" s="2">
        <v>3074.59</v>
      </c>
      <c r="K933" t="s">
        <v>30</v>
      </c>
      <c r="L933" s="5">
        <v>0.14000000000000001</v>
      </c>
      <c r="M933" t="s">
        <v>18</v>
      </c>
      <c r="N933" t="s">
        <v>22</v>
      </c>
      <c r="O933" t="s">
        <v>20</v>
      </c>
      <c r="P933" s="4">
        <f t="shared" si="28"/>
        <v>84612.716800000009</v>
      </c>
      <c r="Q933" s="4">
        <f t="shared" si="29"/>
        <v>1602.1568000000116</v>
      </c>
      <c r="R933" t="str">
        <f>IF( Table1[[#This Row],[Total Amount after sale]] &gt; 0,"PROFIT","LOSS")</f>
        <v>PROFIT</v>
      </c>
      <c r="S933" s="3">
        <f>(Table1[[#This Row],[Total Amount after sale]]/Table1[[#This Row],[Price after discount]])</f>
        <v>1.8935177365679522E-2</v>
      </c>
    </row>
    <row r="934" spans="1:19" x14ac:dyDescent="0.3">
      <c r="A934">
        <v>1062</v>
      </c>
      <c r="B934" s="1">
        <v>45270</v>
      </c>
      <c r="C934" s="1">
        <f>DATE(YEAR(Table1[[#This Row],[Sale_Date]]), MONTH(Table1[[#This Row],[Sale_Date]]), 1)</f>
        <v>45261</v>
      </c>
      <c r="D934" t="s">
        <v>24</v>
      </c>
      <c r="E934" t="s">
        <v>21</v>
      </c>
      <c r="F934" s="2">
        <v>3979.41</v>
      </c>
      <c r="G934">
        <v>11</v>
      </c>
      <c r="H934" t="s">
        <v>35</v>
      </c>
      <c r="I934" s="2">
        <v>1190.08</v>
      </c>
      <c r="J934" s="2">
        <v>1292.9399999999901</v>
      </c>
      <c r="K934" t="s">
        <v>17</v>
      </c>
      <c r="L934" s="5">
        <v>0.13</v>
      </c>
      <c r="M934" t="s">
        <v>18</v>
      </c>
      <c r="N934" t="s">
        <v>22</v>
      </c>
      <c r="O934" t="s">
        <v>47</v>
      </c>
      <c r="P934" s="4">
        <f t="shared" si="28"/>
        <v>12373.435799999905</v>
      </c>
      <c r="Q934" s="4">
        <f t="shared" si="29"/>
        <v>-717.44420000009427</v>
      </c>
      <c r="R934" t="str">
        <f>IF( Table1[[#This Row],[Total Amount after sale]] &gt; 0,"PROFIT","LOSS")</f>
        <v>LOSS</v>
      </c>
      <c r="S934" s="3">
        <f>(Table1[[#This Row],[Total Amount after sale]]/Table1[[#This Row],[Price after discount]])</f>
        <v>-5.7982617891798476E-2</v>
      </c>
    </row>
    <row r="935" spans="1:19" x14ac:dyDescent="0.3">
      <c r="A935">
        <v>1036</v>
      </c>
      <c r="B935" s="1">
        <v>45270</v>
      </c>
      <c r="C935" s="1">
        <f>DATE(YEAR(Table1[[#This Row],[Sale_Date]]), MONTH(Table1[[#This Row],[Sale_Date]]), 1)</f>
        <v>45261</v>
      </c>
      <c r="D935" t="s">
        <v>24</v>
      </c>
      <c r="E935" t="s">
        <v>15</v>
      </c>
      <c r="F935" s="2">
        <v>9989.0400000000009</v>
      </c>
      <c r="G935">
        <v>7</v>
      </c>
      <c r="H935" t="s">
        <v>26</v>
      </c>
      <c r="I935" s="2">
        <v>2882.25</v>
      </c>
      <c r="J935" s="2">
        <v>3163.7</v>
      </c>
      <c r="K935" t="s">
        <v>17</v>
      </c>
      <c r="L935" s="5">
        <v>0.05</v>
      </c>
      <c r="M935" t="s">
        <v>18</v>
      </c>
      <c r="N935" t="s">
        <v>22</v>
      </c>
      <c r="O935" t="s">
        <v>45</v>
      </c>
      <c r="P935" s="4">
        <f t="shared" si="28"/>
        <v>21038.605</v>
      </c>
      <c r="Q935" s="4">
        <f t="shared" si="29"/>
        <v>862.85499999999911</v>
      </c>
      <c r="R935" t="str">
        <f>IF( Table1[[#This Row],[Total Amount after sale]] &gt; 0,"PROFIT","LOSS")</f>
        <v>PROFIT</v>
      </c>
      <c r="S935" s="3">
        <f>(Table1[[#This Row],[Total Amount after sale]]/Table1[[#This Row],[Price after discount]])</f>
        <v>4.1012937882525913E-2</v>
      </c>
    </row>
    <row r="936" spans="1:19" x14ac:dyDescent="0.3">
      <c r="A936">
        <v>1098</v>
      </c>
      <c r="B936" s="1">
        <v>45270</v>
      </c>
      <c r="C936" s="1">
        <f>DATE(YEAR(Table1[[#This Row],[Sale_Date]]), MONTH(Table1[[#This Row],[Sale_Date]]), 1)</f>
        <v>45261</v>
      </c>
      <c r="D936" t="s">
        <v>38</v>
      </c>
      <c r="E936" t="s">
        <v>34</v>
      </c>
      <c r="F936" s="2">
        <v>3419.26</v>
      </c>
      <c r="G936">
        <v>28</v>
      </c>
      <c r="H936" t="s">
        <v>35</v>
      </c>
      <c r="I936" s="2">
        <v>3895.62</v>
      </c>
      <c r="J936" s="2">
        <v>4055.44</v>
      </c>
      <c r="K936" t="s">
        <v>30</v>
      </c>
      <c r="L936" s="5">
        <v>0.03</v>
      </c>
      <c r="M936" t="s">
        <v>27</v>
      </c>
      <c r="N936" t="s">
        <v>22</v>
      </c>
      <c r="O936" t="s">
        <v>48</v>
      </c>
      <c r="P936" s="4">
        <f t="shared" si="28"/>
        <v>110145.7504</v>
      </c>
      <c r="Q936" s="4">
        <f t="shared" si="29"/>
        <v>1068.3904000000057</v>
      </c>
      <c r="R936" t="str">
        <f>IF( Table1[[#This Row],[Total Amount after sale]] &gt; 0,"PROFIT","LOSS")</f>
        <v>PROFIT</v>
      </c>
      <c r="S936" s="3">
        <f>(Table1[[#This Row],[Total Amount after sale]]/Table1[[#This Row],[Price after discount]])</f>
        <v>9.6997877459646924E-3</v>
      </c>
    </row>
    <row r="937" spans="1:19" x14ac:dyDescent="0.3">
      <c r="A937">
        <v>1045</v>
      </c>
      <c r="B937" s="1">
        <v>45271</v>
      </c>
      <c r="C937" s="1">
        <f>DATE(YEAR(Table1[[#This Row],[Sale_Date]]), MONTH(Table1[[#This Row],[Sale_Date]]), 1)</f>
        <v>45261</v>
      </c>
      <c r="D937" t="s">
        <v>42</v>
      </c>
      <c r="E937" t="s">
        <v>21</v>
      </c>
      <c r="F937" s="2">
        <v>6400.11</v>
      </c>
      <c r="G937">
        <v>22</v>
      </c>
      <c r="H937" t="s">
        <v>29</v>
      </c>
      <c r="I937" s="2">
        <v>241.85</v>
      </c>
      <c r="J937" s="2">
        <v>613.09</v>
      </c>
      <c r="K937" t="s">
        <v>17</v>
      </c>
      <c r="L937" s="5">
        <v>0.06</v>
      </c>
      <c r="M937" t="s">
        <v>18</v>
      </c>
      <c r="N937" t="s">
        <v>19</v>
      </c>
      <c r="O937" t="s">
        <v>51</v>
      </c>
      <c r="P937" s="4">
        <f t="shared" si="28"/>
        <v>12678.701200000001</v>
      </c>
      <c r="Q937" s="4">
        <f t="shared" si="29"/>
        <v>7358.0012000000006</v>
      </c>
      <c r="R937" t="str">
        <f>IF( Table1[[#This Row],[Total Amount after sale]] &gt; 0,"PROFIT","LOSS")</f>
        <v>PROFIT</v>
      </c>
      <c r="S937" s="3">
        <f>(Table1[[#This Row],[Total Amount after sale]]/Table1[[#This Row],[Price after discount]])</f>
        <v>0.58034345032123635</v>
      </c>
    </row>
    <row r="938" spans="1:19" x14ac:dyDescent="0.3">
      <c r="A938">
        <v>1051</v>
      </c>
      <c r="B938" s="1">
        <v>45272</v>
      </c>
      <c r="C938" s="1">
        <f>DATE(YEAR(Table1[[#This Row],[Sale_Date]]), MONTH(Table1[[#This Row],[Sale_Date]]), 1)</f>
        <v>45261</v>
      </c>
      <c r="D938" t="s">
        <v>38</v>
      </c>
      <c r="E938" t="s">
        <v>15</v>
      </c>
      <c r="F938" s="2">
        <v>2479.9499999999998</v>
      </c>
      <c r="G938">
        <v>8</v>
      </c>
      <c r="H938" t="s">
        <v>29</v>
      </c>
      <c r="I938" s="2">
        <v>467.11</v>
      </c>
      <c r="J938" s="2">
        <v>792.21</v>
      </c>
      <c r="K938" t="s">
        <v>30</v>
      </c>
      <c r="L938" s="5">
        <v>0.2</v>
      </c>
      <c r="M938" t="s">
        <v>31</v>
      </c>
      <c r="N938" t="s">
        <v>19</v>
      </c>
      <c r="O938" t="s">
        <v>40</v>
      </c>
      <c r="P938" s="4">
        <f t="shared" si="28"/>
        <v>5070.1440000000002</v>
      </c>
      <c r="Q938" s="4">
        <f t="shared" si="29"/>
        <v>1333.2640000000001</v>
      </c>
      <c r="R938" t="str">
        <f>IF( Table1[[#This Row],[Total Amount after sale]] &gt; 0,"PROFIT","LOSS")</f>
        <v>PROFIT</v>
      </c>
      <c r="S938" s="3">
        <f>(Table1[[#This Row],[Total Amount after sale]]/Table1[[#This Row],[Price after discount]])</f>
        <v>0.26296373436336329</v>
      </c>
    </row>
    <row r="939" spans="1:19" x14ac:dyDescent="0.3">
      <c r="A939">
        <v>1053</v>
      </c>
      <c r="B939" s="1">
        <v>45272</v>
      </c>
      <c r="C939" s="1">
        <f>DATE(YEAR(Table1[[#This Row],[Sale_Date]]), MONTH(Table1[[#This Row],[Sale_Date]]), 1)</f>
        <v>45261</v>
      </c>
      <c r="D939" t="s">
        <v>42</v>
      </c>
      <c r="E939" t="s">
        <v>25</v>
      </c>
      <c r="F939" s="2">
        <v>3382.49</v>
      </c>
      <c r="G939">
        <v>47</v>
      </c>
      <c r="H939" t="s">
        <v>35</v>
      </c>
      <c r="I939" s="2">
        <v>3551.76</v>
      </c>
      <c r="J939" s="2">
        <v>3696.1</v>
      </c>
      <c r="K939" t="s">
        <v>17</v>
      </c>
      <c r="L939" s="5">
        <v>0.15</v>
      </c>
      <c r="M939" t="s">
        <v>27</v>
      </c>
      <c r="N939" t="s">
        <v>22</v>
      </c>
      <c r="O939" t="s">
        <v>43</v>
      </c>
      <c r="P939" s="4">
        <f t="shared" si="28"/>
        <v>147659.19500000001</v>
      </c>
      <c r="Q939" s="4">
        <f t="shared" si="29"/>
        <v>-19273.525000000012</v>
      </c>
      <c r="R939" t="str">
        <f>IF( Table1[[#This Row],[Total Amount after sale]] &gt; 0,"PROFIT","LOSS")</f>
        <v>LOSS</v>
      </c>
      <c r="S939" s="3">
        <f>(Table1[[#This Row],[Total Amount after sale]]/Table1[[#This Row],[Price after discount]])</f>
        <v>-0.13052708976234098</v>
      </c>
    </row>
    <row r="940" spans="1:19" x14ac:dyDescent="0.3">
      <c r="A940">
        <v>1070</v>
      </c>
      <c r="B940" s="1">
        <v>45273</v>
      </c>
      <c r="C940" s="1">
        <f>DATE(YEAR(Table1[[#This Row],[Sale_Date]]), MONTH(Table1[[#This Row],[Sale_Date]]), 1)</f>
        <v>45261</v>
      </c>
      <c r="D940" t="s">
        <v>42</v>
      </c>
      <c r="E940" t="s">
        <v>21</v>
      </c>
      <c r="F940" s="2">
        <v>100.12</v>
      </c>
      <c r="G940">
        <v>8</v>
      </c>
      <c r="H940" t="s">
        <v>29</v>
      </c>
      <c r="I940" s="2">
        <v>3762.27</v>
      </c>
      <c r="J940" s="2">
        <v>4166.95</v>
      </c>
      <c r="K940" t="s">
        <v>17</v>
      </c>
      <c r="L940" s="5">
        <v>0.16</v>
      </c>
      <c r="M940" t="s">
        <v>27</v>
      </c>
      <c r="N940" t="s">
        <v>19</v>
      </c>
      <c r="O940" t="s">
        <v>51</v>
      </c>
      <c r="P940" s="4">
        <f t="shared" si="28"/>
        <v>28001.903999999999</v>
      </c>
      <c r="Q940" s="4">
        <f t="shared" si="29"/>
        <v>-2096.2560000000012</v>
      </c>
      <c r="R940" t="str">
        <f>IF( Table1[[#This Row],[Total Amount after sale]] &gt; 0,"PROFIT","LOSS")</f>
        <v>LOSS</v>
      </c>
      <c r="S940" s="3">
        <f>(Table1[[#This Row],[Total Amount after sale]]/Table1[[#This Row],[Price after discount]])</f>
        <v>-7.4861195153015356E-2</v>
      </c>
    </row>
    <row r="941" spans="1:19" x14ac:dyDescent="0.3">
      <c r="A941">
        <v>1092</v>
      </c>
      <c r="B941" s="1">
        <v>45273</v>
      </c>
      <c r="C941" s="1">
        <f>DATE(YEAR(Table1[[#This Row],[Sale_Date]]), MONTH(Table1[[#This Row],[Sale_Date]]), 1)</f>
        <v>45261</v>
      </c>
      <c r="D941" t="s">
        <v>33</v>
      </c>
      <c r="E941" t="s">
        <v>15</v>
      </c>
      <c r="F941" s="2">
        <v>3206.89</v>
      </c>
      <c r="G941">
        <v>15</v>
      </c>
      <c r="H941" t="s">
        <v>29</v>
      </c>
      <c r="I941" s="2">
        <v>2273.88</v>
      </c>
      <c r="J941" s="2">
        <v>2696.02</v>
      </c>
      <c r="K941" t="s">
        <v>30</v>
      </c>
      <c r="L941" s="5">
        <v>0.3</v>
      </c>
      <c r="M941" t="s">
        <v>18</v>
      </c>
      <c r="N941" t="s">
        <v>19</v>
      </c>
      <c r="O941" t="s">
        <v>53</v>
      </c>
      <c r="P941" s="4">
        <f t="shared" si="28"/>
        <v>28308.21</v>
      </c>
      <c r="Q941" s="4">
        <f t="shared" si="29"/>
        <v>-5799.9900000000025</v>
      </c>
      <c r="R941" t="str">
        <f>IF( Table1[[#This Row],[Total Amount after sale]] &gt; 0,"PROFIT","LOSS")</f>
        <v>LOSS</v>
      </c>
      <c r="S941" s="3">
        <f>(Table1[[#This Row],[Total Amount after sale]]/Table1[[#This Row],[Price after discount]])</f>
        <v>-0.20488720410085989</v>
      </c>
    </row>
    <row r="942" spans="1:19" x14ac:dyDescent="0.3">
      <c r="A942">
        <v>1070</v>
      </c>
      <c r="B942" s="1">
        <v>45274</v>
      </c>
      <c r="C942" s="1">
        <f>DATE(YEAR(Table1[[#This Row],[Sale_Date]]), MONTH(Table1[[#This Row],[Sale_Date]]), 1)</f>
        <v>45261</v>
      </c>
      <c r="D942" t="s">
        <v>33</v>
      </c>
      <c r="E942" t="s">
        <v>25</v>
      </c>
      <c r="F942" s="2">
        <v>2032.15</v>
      </c>
      <c r="G942">
        <v>33</v>
      </c>
      <c r="H942" t="s">
        <v>26</v>
      </c>
      <c r="I942" s="2">
        <v>866.42</v>
      </c>
      <c r="J942" s="2">
        <v>878.43</v>
      </c>
      <c r="K942" t="s">
        <v>30</v>
      </c>
      <c r="L942" s="5">
        <v>0.09</v>
      </c>
      <c r="M942" t="s">
        <v>18</v>
      </c>
      <c r="N942" t="s">
        <v>22</v>
      </c>
      <c r="O942" t="s">
        <v>44</v>
      </c>
      <c r="P942" s="4">
        <f t="shared" si="28"/>
        <v>26379.252899999999</v>
      </c>
      <c r="Q942" s="4">
        <f t="shared" si="29"/>
        <v>-2212.6070999999979</v>
      </c>
      <c r="R942" t="str">
        <f>IF( Table1[[#This Row],[Total Amount after sale]] &gt; 0,"PROFIT","LOSS")</f>
        <v>LOSS</v>
      </c>
      <c r="S942" s="3">
        <f>(Table1[[#This Row],[Total Amount after sale]]/Table1[[#This Row],[Price after discount]])</f>
        <v>-8.3876791673656456E-2</v>
      </c>
    </row>
    <row r="943" spans="1:19" x14ac:dyDescent="0.3">
      <c r="A943">
        <v>1045</v>
      </c>
      <c r="B943" s="1">
        <v>45275</v>
      </c>
      <c r="C943" s="1">
        <f>DATE(YEAR(Table1[[#This Row],[Sale_Date]]), MONTH(Table1[[#This Row],[Sale_Date]]), 1)</f>
        <v>45261</v>
      </c>
      <c r="D943" t="s">
        <v>24</v>
      </c>
      <c r="E943" t="s">
        <v>25</v>
      </c>
      <c r="F943" s="2">
        <v>3517.4</v>
      </c>
      <c r="G943">
        <v>42</v>
      </c>
      <c r="H943" t="s">
        <v>29</v>
      </c>
      <c r="I943" s="2">
        <v>3587.74</v>
      </c>
      <c r="J943" s="2">
        <v>3745.91</v>
      </c>
      <c r="K943" t="s">
        <v>17</v>
      </c>
      <c r="L943" s="5">
        <v>0.1</v>
      </c>
      <c r="M943" t="s">
        <v>18</v>
      </c>
      <c r="N943" t="s">
        <v>19</v>
      </c>
      <c r="O943" t="s">
        <v>28</v>
      </c>
      <c r="P943" s="4">
        <f t="shared" si="28"/>
        <v>141595.39799999999</v>
      </c>
      <c r="Q943" s="4">
        <f t="shared" si="29"/>
        <v>-9089.6819999999934</v>
      </c>
      <c r="R943" t="str">
        <f>IF( Table1[[#This Row],[Total Amount after sale]] &gt; 0,"PROFIT","LOSS")</f>
        <v>LOSS</v>
      </c>
      <c r="S943" s="3">
        <f>(Table1[[#This Row],[Total Amount after sale]]/Table1[[#This Row],[Price after discount]])</f>
        <v>-6.4194755821089564E-2</v>
      </c>
    </row>
    <row r="944" spans="1:19" x14ac:dyDescent="0.3">
      <c r="A944">
        <v>1061</v>
      </c>
      <c r="B944" s="1">
        <v>45275</v>
      </c>
      <c r="C944" s="1">
        <f>DATE(YEAR(Table1[[#This Row],[Sale_Date]]), MONTH(Table1[[#This Row],[Sale_Date]]), 1)</f>
        <v>45261</v>
      </c>
      <c r="D944" t="s">
        <v>42</v>
      </c>
      <c r="E944" t="s">
        <v>15</v>
      </c>
      <c r="F944" s="2">
        <v>3867.13</v>
      </c>
      <c r="G944">
        <v>32</v>
      </c>
      <c r="H944" t="s">
        <v>26</v>
      </c>
      <c r="I944" s="2">
        <v>2759.26</v>
      </c>
      <c r="J944" s="2">
        <v>3193.25</v>
      </c>
      <c r="K944" t="s">
        <v>30</v>
      </c>
      <c r="L944" s="5">
        <v>0.2</v>
      </c>
      <c r="M944" t="s">
        <v>27</v>
      </c>
      <c r="N944" t="s">
        <v>19</v>
      </c>
      <c r="O944" t="s">
        <v>49</v>
      </c>
      <c r="P944" s="4">
        <f t="shared" si="28"/>
        <v>81747.200000000012</v>
      </c>
      <c r="Q944" s="4">
        <f t="shared" si="29"/>
        <v>-6549.1199999999953</v>
      </c>
      <c r="R944" t="str">
        <f>IF( Table1[[#This Row],[Total Amount after sale]] &gt; 0,"PROFIT","LOSS")</f>
        <v>LOSS</v>
      </c>
      <c r="S944" s="3">
        <f>(Table1[[#This Row],[Total Amount after sale]]/Table1[[#This Row],[Price after discount]])</f>
        <v>-8.0114303609175541E-2</v>
      </c>
    </row>
    <row r="945" spans="1:19" x14ac:dyDescent="0.3">
      <c r="A945">
        <v>1043</v>
      </c>
      <c r="B945" s="1">
        <v>45275</v>
      </c>
      <c r="C945" s="1">
        <f>DATE(YEAR(Table1[[#This Row],[Sale_Date]]), MONTH(Table1[[#This Row],[Sale_Date]]), 1)</f>
        <v>45261</v>
      </c>
      <c r="D945" t="s">
        <v>24</v>
      </c>
      <c r="E945" t="s">
        <v>21</v>
      </c>
      <c r="F945" s="2">
        <v>4448.18</v>
      </c>
      <c r="G945">
        <v>6</v>
      </c>
      <c r="H945" t="s">
        <v>29</v>
      </c>
      <c r="I945" s="2">
        <v>563.59</v>
      </c>
      <c r="J945" s="2">
        <v>838.97</v>
      </c>
      <c r="K945" t="s">
        <v>30</v>
      </c>
      <c r="L945" s="5">
        <v>0.17</v>
      </c>
      <c r="M945" t="s">
        <v>31</v>
      </c>
      <c r="N945" t="s">
        <v>19</v>
      </c>
      <c r="O945" t="s">
        <v>47</v>
      </c>
      <c r="P945" s="4">
        <f t="shared" si="28"/>
        <v>4178.0706</v>
      </c>
      <c r="Q945" s="4">
        <f t="shared" si="29"/>
        <v>796.53059999999982</v>
      </c>
      <c r="R945" t="str">
        <f>IF( Table1[[#This Row],[Total Amount after sale]] &gt; 0,"PROFIT","LOSS")</f>
        <v>PROFIT</v>
      </c>
      <c r="S945" s="3">
        <f>(Table1[[#This Row],[Total Amount after sale]]/Table1[[#This Row],[Price after discount]])</f>
        <v>0.19064555778449502</v>
      </c>
    </row>
    <row r="946" spans="1:19" x14ac:dyDescent="0.3">
      <c r="A946">
        <v>1076</v>
      </c>
      <c r="B946" s="1">
        <v>45275</v>
      </c>
      <c r="C946" s="1">
        <f>DATE(YEAR(Table1[[#This Row],[Sale_Date]]), MONTH(Table1[[#This Row],[Sale_Date]]), 1)</f>
        <v>45261</v>
      </c>
      <c r="D946" t="s">
        <v>14</v>
      </c>
      <c r="E946" t="s">
        <v>21</v>
      </c>
      <c r="F946" s="2">
        <v>2607.4</v>
      </c>
      <c r="G946">
        <v>32</v>
      </c>
      <c r="H946" t="s">
        <v>26</v>
      </c>
      <c r="I946" s="2">
        <v>2636.36</v>
      </c>
      <c r="J946" s="2">
        <v>2696.78</v>
      </c>
      <c r="K946" t="s">
        <v>30</v>
      </c>
      <c r="L946" s="5">
        <v>0.09</v>
      </c>
      <c r="M946" t="s">
        <v>18</v>
      </c>
      <c r="N946" t="s">
        <v>22</v>
      </c>
      <c r="O946" t="s">
        <v>23</v>
      </c>
      <c r="P946" s="4">
        <f t="shared" si="28"/>
        <v>78530.233600000007</v>
      </c>
      <c r="Q946" s="4">
        <f t="shared" si="29"/>
        <v>-5833.2863999999972</v>
      </c>
      <c r="R946" t="str">
        <f>IF( Table1[[#This Row],[Total Amount after sale]] &gt; 0,"PROFIT","LOSS")</f>
        <v>LOSS</v>
      </c>
      <c r="S946" s="3">
        <f>(Table1[[#This Row],[Total Amount after sale]]/Table1[[#This Row],[Price after discount]])</f>
        <v>-7.4280772290991851E-2</v>
      </c>
    </row>
    <row r="947" spans="1:19" x14ac:dyDescent="0.3">
      <c r="A947">
        <v>1019</v>
      </c>
      <c r="B947" s="1">
        <v>45275</v>
      </c>
      <c r="C947" s="1">
        <f>DATE(YEAR(Table1[[#This Row],[Sale_Date]]), MONTH(Table1[[#This Row],[Sale_Date]]), 1)</f>
        <v>45261</v>
      </c>
      <c r="D947" t="s">
        <v>24</v>
      </c>
      <c r="E947" t="s">
        <v>34</v>
      </c>
      <c r="F947" s="2">
        <v>8902.3700000000008</v>
      </c>
      <c r="G947">
        <v>36</v>
      </c>
      <c r="H947" t="s">
        <v>29</v>
      </c>
      <c r="I947" s="2">
        <v>1340.51</v>
      </c>
      <c r="J947" s="2">
        <v>1567.92</v>
      </c>
      <c r="K947" t="s">
        <v>30</v>
      </c>
      <c r="L947" s="5">
        <v>0.28999999999999998</v>
      </c>
      <c r="M947" t="s">
        <v>18</v>
      </c>
      <c r="N947" t="s">
        <v>19</v>
      </c>
      <c r="O947" t="s">
        <v>50</v>
      </c>
      <c r="P947" s="4">
        <f t="shared" si="28"/>
        <v>40076.035199999998</v>
      </c>
      <c r="Q947" s="4">
        <f t="shared" si="29"/>
        <v>-8182.3248000000031</v>
      </c>
      <c r="R947" t="str">
        <f>IF( Table1[[#This Row],[Total Amount after sale]] &gt; 0,"PROFIT","LOSS")</f>
        <v>LOSS</v>
      </c>
      <c r="S947" s="3">
        <f>(Table1[[#This Row],[Total Amount after sale]]/Table1[[#This Row],[Price after discount]])</f>
        <v>-0.20417001729751957</v>
      </c>
    </row>
    <row r="948" spans="1:19" x14ac:dyDescent="0.3">
      <c r="A948">
        <v>1012</v>
      </c>
      <c r="B948" s="1">
        <v>45275</v>
      </c>
      <c r="C948" s="1">
        <f>DATE(YEAR(Table1[[#This Row],[Sale_Date]]), MONTH(Table1[[#This Row],[Sale_Date]]), 1)</f>
        <v>45261</v>
      </c>
      <c r="D948" t="s">
        <v>14</v>
      </c>
      <c r="E948" t="s">
        <v>21</v>
      </c>
      <c r="F948" s="2">
        <v>8821.6299999999992</v>
      </c>
      <c r="G948">
        <v>13</v>
      </c>
      <c r="H948" t="s">
        <v>35</v>
      </c>
      <c r="I948" s="2">
        <v>2231.66</v>
      </c>
      <c r="J948" s="2">
        <v>2596.6099999999901</v>
      </c>
      <c r="K948" t="s">
        <v>17</v>
      </c>
      <c r="L948" s="5">
        <v>0.09</v>
      </c>
      <c r="M948" t="s">
        <v>27</v>
      </c>
      <c r="N948" t="s">
        <v>22</v>
      </c>
      <c r="O948" t="s">
        <v>23</v>
      </c>
      <c r="P948" s="4">
        <f t="shared" si="28"/>
        <v>30717.896299999884</v>
      </c>
      <c r="Q948" s="4">
        <f t="shared" si="29"/>
        <v>1706.3162999998858</v>
      </c>
      <c r="R948" t="str">
        <f>IF( Table1[[#This Row],[Total Amount after sale]] &gt; 0,"PROFIT","LOSS")</f>
        <v>PROFIT</v>
      </c>
      <c r="S948" s="3">
        <f>(Table1[[#This Row],[Total Amount after sale]]/Table1[[#This Row],[Price after discount]])</f>
        <v>5.554795430440633E-2</v>
      </c>
    </row>
    <row r="949" spans="1:19" x14ac:dyDescent="0.3">
      <c r="A949">
        <v>1060</v>
      </c>
      <c r="B949" s="1">
        <v>45276</v>
      </c>
      <c r="C949" s="1">
        <f>DATE(YEAR(Table1[[#This Row],[Sale_Date]]), MONTH(Table1[[#This Row],[Sale_Date]]), 1)</f>
        <v>45261</v>
      </c>
      <c r="D949" t="s">
        <v>38</v>
      </c>
      <c r="E949" t="s">
        <v>34</v>
      </c>
      <c r="F949" s="2">
        <v>3224.71</v>
      </c>
      <c r="G949">
        <v>44</v>
      </c>
      <c r="H949" t="s">
        <v>29</v>
      </c>
      <c r="I949" s="2">
        <v>3784.96</v>
      </c>
      <c r="J949" s="2">
        <v>4276.99</v>
      </c>
      <c r="K949" t="s">
        <v>30</v>
      </c>
      <c r="L949" s="5">
        <v>0.06</v>
      </c>
      <c r="M949" t="s">
        <v>27</v>
      </c>
      <c r="N949" t="s">
        <v>22</v>
      </c>
      <c r="O949" t="s">
        <v>48</v>
      </c>
      <c r="P949" s="4">
        <f t="shared" si="28"/>
        <v>176896.3064</v>
      </c>
      <c r="Q949" s="4">
        <f t="shared" si="29"/>
        <v>10358.066399999987</v>
      </c>
      <c r="R949" t="str">
        <f>IF( Table1[[#This Row],[Total Amount after sale]] &gt; 0,"PROFIT","LOSS")</f>
        <v>PROFIT</v>
      </c>
      <c r="S949" s="3">
        <f>(Table1[[#This Row],[Total Amount after sale]]/Table1[[#This Row],[Price after discount]])</f>
        <v>5.8554452666627226E-2</v>
      </c>
    </row>
    <row r="950" spans="1:19" x14ac:dyDescent="0.3">
      <c r="A950">
        <v>1076</v>
      </c>
      <c r="B950" s="1">
        <v>45276</v>
      </c>
      <c r="C950" s="1">
        <f>DATE(YEAR(Table1[[#This Row],[Sale_Date]]), MONTH(Table1[[#This Row],[Sale_Date]]), 1)</f>
        <v>45261</v>
      </c>
      <c r="D950" t="s">
        <v>38</v>
      </c>
      <c r="E950" t="s">
        <v>34</v>
      </c>
      <c r="F950" s="2">
        <v>7160.75</v>
      </c>
      <c r="G950">
        <v>30</v>
      </c>
      <c r="H950" t="s">
        <v>29</v>
      </c>
      <c r="I950" s="2">
        <v>3519.63</v>
      </c>
      <c r="J950" s="2">
        <v>3774.65</v>
      </c>
      <c r="K950" t="s">
        <v>30</v>
      </c>
      <c r="L950" s="5">
        <v>0.2</v>
      </c>
      <c r="M950" t="s">
        <v>31</v>
      </c>
      <c r="N950" t="s">
        <v>22</v>
      </c>
      <c r="O950" t="s">
        <v>48</v>
      </c>
      <c r="P950" s="4">
        <f t="shared" si="28"/>
        <v>90591.6</v>
      </c>
      <c r="Q950" s="4">
        <f t="shared" si="29"/>
        <v>-14997.299999999996</v>
      </c>
      <c r="R950" t="str">
        <f>IF( Table1[[#This Row],[Total Amount after sale]] &gt; 0,"PROFIT","LOSS")</f>
        <v>LOSS</v>
      </c>
      <c r="S950" s="3">
        <f>(Table1[[#This Row],[Total Amount after sale]]/Table1[[#This Row],[Price after discount]])</f>
        <v>-0.16554846144675658</v>
      </c>
    </row>
    <row r="951" spans="1:19" x14ac:dyDescent="0.3">
      <c r="A951">
        <v>1074</v>
      </c>
      <c r="B951" s="1">
        <v>45276</v>
      </c>
      <c r="C951" s="1">
        <f>DATE(YEAR(Table1[[#This Row],[Sale_Date]]), MONTH(Table1[[#This Row],[Sale_Date]]), 1)</f>
        <v>45261</v>
      </c>
      <c r="D951" t="s">
        <v>14</v>
      </c>
      <c r="E951" t="s">
        <v>15</v>
      </c>
      <c r="F951" s="2">
        <v>6310.56</v>
      </c>
      <c r="G951">
        <v>19</v>
      </c>
      <c r="H951" t="s">
        <v>16</v>
      </c>
      <c r="I951" s="2">
        <v>278.67</v>
      </c>
      <c r="J951" s="2">
        <v>423.13</v>
      </c>
      <c r="K951" t="s">
        <v>30</v>
      </c>
      <c r="L951" s="5">
        <v>0.24</v>
      </c>
      <c r="M951" t="s">
        <v>31</v>
      </c>
      <c r="N951" t="s">
        <v>19</v>
      </c>
      <c r="O951" t="s">
        <v>20</v>
      </c>
      <c r="P951" s="4">
        <f t="shared" si="28"/>
        <v>6109.9971999999998</v>
      </c>
      <c r="Q951" s="4">
        <f t="shared" si="29"/>
        <v>815.26719999999978</v>
      </c>
      <c r="R951" t="str">
        <f>IF( Table1[[#This Row],[Total Amount after sale]] &gt; 0,"PROFIT","LOSS")</f>
        <v>PROFIT</v>
      </c>
      <c r="S951" s="3">
        <f>(Table1[[#This Row],[Total Amount after sale]]/Table1[[#This Row],[Price after discount]])</f>
        <v>0.13343168144168704</v>
      </c>
    </row>
    <row r="952" spans="1:19" x14ac:dyDescent="0.3">
      <c r="A952">
        <v>1073</v>
      </c>
      <c r="B952" s="1">
        <v>45278</v>
      </c>
      <c r="C952" s="1">
        <f>DATE(YEAR(Table1[[#This Row],[Sale_Date]]), MONTH(Table1[[#This Row],[Sale_Date]]), 1)</f>
        <v>45261</v>
      </c>
      <c r="D952" t="s">
        <v>38</v>
      </c>
      <c r="E952" t="s">
        <v>21</v>
      </c>
      <c r="F952" s="2">
        <v>3196.5</v>
      </c>
      <c r="G952">
        <v>40</v>
      </c>
      <c r="H952" t="s">
        <v>26</v>
      </c>
      <c r="I952" s="2">
        <v>157.15</v>
      </c>
      <c r="J952" s="2">
        <v>436.53</v>
      </c>
      <c r="K952" t="s">
        <v>30</v>
      </c>
      <c r="L952" s="5">
        <v>0.04</v>
      </c>
      <c r="M952" t="s">
        <v>18</v>
      </c>
      <c r="N952" t="s">
        <v>22</v>
      </c>
      <c r="O952" t="s">
        <v>41</v>
      </c>
      <c r="P952" s="4">
        <f t="shared" si="28"/>
        <v>16762.751999999997</v>
      </c>
      <c r="Q952" s="4">
        <f t="shared" si="29"/>
        <v>10476.751999999997</v>
      </c>
      <c r="R952" t="str">
        <f>IF( Table1[[#This Row],[Total Amount after sale]] &gt; 0,"PROFIT","LOSS")</f>
        <v>PROFIT</v>
      </c>
      <c r="S952" s="3">
        <f>(Table1[[#This Row],[Total Amount after sale]]/Table1[[#This Row],[Price after discount]])</f>
        <v>0.62500190899441799</v>
      </c>
    </row>
    <row r="953" spans="1:19" x14ac:dyDescent="0.3">
      <c r="A953">
        <v>1014</v>
      </c>
      <c r="B953" s="1">
        <v>45278</v>
      </c>
      <c r="C953" s="1">
        <f>DATE(YEAR(Table1[[#This Row],[Sale_Date]]), MONTH(Table1[[#This Row],[Sale_Date]]), 1)</f>
        <v>45261</v>
      </c>
      <c r="D953" t="s">
        <v>24</v>
      </c>
      <c r="E953" t="s">
        <v>34</v>
      </c>
      <c r="F953" s="2">
        <v>5612.17</v>
      </c>
      <c r="G953">
        <v>4</v>
      </c>
      <c r="H953" t="s">
        <v>16</v>
      </c>
      <c r="I953" s="2">
        <v>854.68</v>
      </c>
      <c r="J953" s="2">
        <v>1115.24</v>
      </c>
      <c r="K953" t="s">
        <v>30</v>
      </c>
      <c r="L953" s="5">
        <v>0.24</v>
      </c>
      <c r="M953" t="s">
        <v>31</v>
      </c>
      <c r="N953" t="s">
        <v>22</v>
      </c>
      <c r="O953" t="s">
        <v>50</v>
      </c>
      <c r="P953" s="4">
        <f t="shared" si="28"/>
        <v>3390.3296</v>
      </c>
      <c r="Q953" s="4">
        <f t="shared" si="29"/>
        <v>-28.390399999999772</v>
      </c>
      <c r="R953" t="str">
        <f>IF( Table1[[#This Row],[Total Amount after sale]] &gt; 0,"PROFIT","LOSS")</f>
        <v>LOSS</v>
      </c>
      <c r="S953" s="3">
        <f>(Table1[[#This Row],[Total Amount after sale]]/Table1[[#This Row],[Price after discount]])</f>
        <v>-8.3739350887889405E-3</v>
      </c>
    </row>
    <row r="954" spans="1:19" x14ac:dyDescent="0.3">
      <c r="A954">
        <v>1088</v>
      </c>
      <c r="B954" s="1">
        <v>45279</v>
      </c>
      <c r="C954" s="1">
        <f>DATE(YEAR(Table1[[#This Row],[Sale_Date]]), MONTH(Table1[[#This Row],[Sale_Date]]), 1)</f>
        <v>45261</v>
      </c>
      <c r="D954" t="s">
        <v>42</v>
      </c>
      <c r="E954" t="s">
        <v>34</v>
      </c>
      <c r="F954" s="2">
        <v>8452.1299999999992</v>
      </c>
      <c r="G954">
        <v>20</v>
      </c>
      <c r="H954" t="s">
        <v>29</v>
      </c>
      <c r="I954" s="2">
        <v>4590.24</v>
      </c>
      <c r="J954" s="2">
        <v>5088.28</v>
      </c>
      <c r="K954" t="s">
        <v>30</v>
      </c>
      <c r="L954" s="5">
        <v>0.16</v>
      </c>
      <c r="M954" t="s">
        <v>27</v>
      </c>
      <c r="N954" t="s">
        <v>22</v>
      </c>
      <c r="O954" t="s">
        <v>52</v>
      </c>
      <c r="P954" s="4">
        <f t="shared" si="28"/>
        <v>85483.103999999992</v>
      </c>
      <c r="Q954" s="4">
        <f t="shared" si="29"/>
        <v>-6321.6960000000108</v>
      </c>
      <c r="R954" t="str">
        <f>IF( Table1[[#This Row],[Total Amount after sale]] &gt; 0,"PROFIT","LOSS")</f>
        <v>LOSS</v>
      </c>
      <c r="S954" s="3">
        <f>(Table1[[#This Row],[Total Amount after sale]]/Table1[[#This Row],[Price after discount]])</f>
        <v>-7.3952578979818176E-2</v>
      </c>
    </row>
    <row r="955" spans="1:19" x14ac:dyDescent="0.3">
      <c r="A955">
        <v>1029</v>
      </c>
      <c r="B955" s="1">
        <v>45279</v>
      </c>
      <c r="C955" s="1">
        <f>DATE(YEAR(Table1[[#This Row],[Sale_Date]]), MONTH(Table1[[#This Row],[Sale_Date]]), 1)</f>
        <v>45261</v>
      </c>
      <c r="D955" t="s">
        <v>38</v>
      </c>
      <c r="E955" t="s">
        <v>15</v>
      </c>
      <c r="F955" s="2">
        <v>5694.34</v>
      </c>
      <c r="G955">
        <v>21</v>
      </c>
      <c r="H955" t="s">
        <v>26</v>
      </c>
      <c r="I955" s="2">
        <v>3085.1</v>
      </c>
      <c r="J955" s="2">
        <v>3200.75</v>
      </c>
      <c r="K955" t="s">
        <v>30</v>
      </c>
      <c r="L955" s="5">
        <v>0.21</v>
      </c>
      <c r="M955" t="s">
        <v>18</v>
      </c>
      <c r="N955" t="s">
        <v>22</v>
      </c>
      <c r="O955" t="s">
        <v>40</v>
      </c>
      <c r="P955" s="4">
        <f t="shared" si="28"/>
        <v>53100.442500000005</v>
      </c>
      <c r="Q955" s="4">
        <f t="shared" si="29"/>
        <v>-11686.657499999994</v>
      </c>
      <c r="R955" t="str">
        <f>IF( Table1[[#This Row],[Total Amount after sale]] &gt; 0,"PROFIT","LOSS")</f>
        <v>LOSS</v>
      </c>
      <c r="S955" s="3">
        <f>(Table1[[#This Row],[Total Amount after sale]]/Table1[[#This Row],[Price after discount]])</f>
        <v>-0.22008587781542485</v>
      </c>
    </row>
    <row r="956" spans="1:19" x14ac:dyDescent="0.3">
      <c r="A956">
        <v>1063</v>
      </c>
      <c r="B956" s="1">
        <v>45279</v>
      </c>
      <c r="C956" s="1">
        <f>DATE(YEAR(Table1[[#This Row],[Sale_Date]]), MONTH(Table1[[#This Row],[Sale_Date]]), 1)</f>
        <v>45261</v>
      </c>
      <c r="D956" t="s">
        <v>33</v>
      </c>
      <c r="E956" t="s">
        <v>21</v>
      </c>
      <c r="F956" s="2">
        <v>3889.71</v>
      </c>
      <c r="G956">
        <v>46</v>
      </c>
      <c r="H956" t="s">
        <v>16</v>
      </c>
      <c r="I956" s="2">
        <v>2302.62</v>
      </c>
      <c r="J956" s="2">
        <v>2740.93</v>
      </c>
      <c r="K956" t="s">
        <v>17</v>
      </c>
      <c r="L956" s="5">
        <v>0.25</v>
      </c>
      <c r="M956" t="s">
        <v>27</v>
      </c>
      <c r="N956" t="s">
        <v>19</v>
      </c>
      <c r="O956" t="s">
        <v>37</v>
      </c>
      <c r="P956" s="4">
        <f t="shared" si="28"/>
        <v>94562.084999999992</v>
      </c>
      <c r="Q956" s="4">
        <f t="shared" si="29"/>
        <v>-11358.435000000005</v>
      </c>
      <c r="R956" t="str">
        <f>IF( Table1[[#This Row],[Total Amount after sale]] &gt; 0,"PROFIT","LOSS")</f>
        <v>LOSS</v>
      </c>
      <c r="S956" s="3">
        <f>(Table1[[#This Row],[Total Amount after sale]]/Table1[[#This Row],[Price after discount]])</f>
        <v>-0.12011616495131221</v>
      </c>
    </row>
    <row r="957" spans="1:19" x14ac:dyDescent="0.3">
      <c r="A957">
        <v>1043</v>
      </c>
      <c r="B957" s="1">
        <v>45279</v>
      </c>
      <c r="C957" s="1">
        <f>DATE(YEAR(Table1[[#This Row],[Sale_Date]]), MONTH(Table1[[#This Row],[Sale_Date]]), 1)</f>
        <v>45261</v>
      </c>
      <c r="D957" t="s">
        <v>38</v>
      </c>
      <c r="E957" t="s">
        <v>25</v>
      </c>
      <c r="F957" s="2">
        <v>1633.76</v>
      </c>
      <c r="G957">
        <v>12</v>
      </c>
      <c r="H957" t="s">
        <v>35</v>
      </c>
      <c r="I957" s="2">
        <v>4920.46</v>
      </c>
      <c r="J957" s="2">
        <v>5079.68</v>
      </c>
      <c r="K957" t="s">
        <v>30</v>
      </c>
      <c r="L957" s="5">
        <v>0.21</v>
      </c>
      <c r="M957" t="s">
        <v>31</v>
      </c>
      <c r="N957" t="s">
        <v>22</v>
      </c>
      <c r="O957" t="s">
        <v>39</v>
      </c>
      <c r="P957" s="4">
        <f t="shared" si="28"/>
        <v>48155.366400000006</v>
      </c>
      <c r="Q957" s="4">
        <f t="shared" si="29"/>
        <v>-10890.153599999994</v>
      </c>
      <c r="R957" t="str">
        <f>IF( Table1[[#This Row],[Total Amount after sale]] &gt; 0,"PROFIT","LOSS")</f>
        <v>LOSS</v>
      </c>
      <c r="S957" s="3">
        <f>(Table1[[#This Row],[Total Amount after sale]]/Table1[[#This Row],[Price after discount]])</f>
        <v>-0.22614620994764131</v>
      </c>
    </row>
    <row r="958" spans="1:19" x14ac:dyDescent="0.3">
      <c r="A958">
        <v>1064</v>
      </c>
      <c r="B958" s="1">
        <v>45279</v>
      </c>
      <c r="C958" s="1">
        <f>DATE(YEAR(Table1[[#This Row],[Sale_Date]]), MONTH(Table1[[#This Row],[Sale_Date]]), 1)</f>
        <v>45261</v>
      </c>
      <c r="D958" t="s">
        <v>42</v>
      </c>
      <c r="E958" t="s">
        <v>21</v>
      </c>
      <c r="F958" s="2">
        <v>106.47</v>
      </c>
      <c r="G958">
        <v>35</v>
      </c>
      <c r="H958" t="s">
        <v>29</v>
      </c>
      <c r="I958" s="2">
        <v>4900.03</v>
      </c>
      <c r="J958" s="2">
        <v>5118.83</v>
      </c>
      <c r="K958" t="s">
        <v>17</v>
      </c>
      <c r="L958" s="5">
        <v>7.0000000000000007E-2</v>
      </c>
      <c r="M958" t="s">
        <v>31</v>
      </c>
      <c r="N958" t="s">
        <v>22</v>
      </c>
      <c r="O958" t="s">
        <v>51</v>
      </c>
      <c r="P958" s="4">
        <f t="shared" si="28"/>
        <v>166617.91649999999</v>
      </c>
      <c r="Q958" s="4">
        <f t="shared" si="29"/>
        <v>-4883.1335000000081</v>
      </c>
      <c r="R958" t="str">
        <f>IF( Table1[[#This Row],[Total Amount after sale]] &gt; 0,"PROFIT","LOSS")</f>
        <v>LOSS</v>
      </c>
      <c r="S958" s="3">
        <f>(Table1[[#This Row],[Total Amount after sale]]/Table1[[#This Row],[Price after discount]])</f>
        <v>-2.9307373436037464E-2</v>
      </c>
    </row>
    <row r="959" spans="1:19" x14ac:dyDescent="0.3">
      <c r="A959">
        <v>1069</v>
      </c>
      <c r="B959" s="1">
        <v>45280</v>
      </c>
      <c r="C959" s="1">
        <f>DATE(YEAR(Table1[[#This Row],[Sale_Date]]), MONTH(Table1[[#This Row],[Sale_Date]]), 1)</f>
        <v>45261</v>
      </c>
      <c r="D959" t="s">
        <v>38</v>
      </c>
      <c r="E959" t="s">
        <v>15</v>
      </c>
      <c r="F959" s="2">
        <v>5429.49</v>
      </c>
      <c r="G959">
        <v>12</v>
      </c>
      <c r="H959" t="s">
        <v>16</v>
      </c>
      <c r="I959" s="2">
        <v>4682.34</v>
      </c>
      <c r="J959" s="2">
        <v>5036.3999999999996</v>
      </c>
      <c r="K959" t="s">
        <v>30</v>
      </c>
      <c r="L959" s="5">
        <v>0.2</v>
      </c>
      <c r="M959" t="s">
        <v>27</v>
      </c>
      <c r="N959" t="s">
        <v>22</v>
      </c>
      <c r="O959" t="s">
        <v>40</v>
      </c>
      <c r="P959" s="4">
        <f t="shared" si="28"/>
        <v>48349.440000000002</v>
      </c>
      <c r="Q959" s="4">
        <f t="shared" si="29"/>
        <v>-7838.6400000000031</v>
      </c>
      <c r="R959" t="str">
        <f>IF( Table1[[#This Row],[Total Amount after sale]] &gt; 0,"PROFIT","LOSS")</f>
        <v>LOSS</v>
      </c>
      <c r="S959" s="3">
        <f>(Table1[[#This Row],[Total Amount after sale]]/Table1[[#This Row],[Price after discount]])</f>
        <v>-0.1621247319513939</v>
      </c>
    </row>
    <row r="960" spans="1:19" x14ac:dyDescent="0.3">
      <c r="A960">
        <v>1058</v>
      </c>
      <c r="B960" s="1">
        <v>45280</v>
      </c>
      <c r="C960" s="1">
        <f>DATE(YEAR(Table1[[#This Row],[Sale_Date]]), MONTH(Table1[[#This Row],[Sale_Date]]), 1)</f>
        <v>45261</v>
      </c>
      <c r="D960" t="s">
        <v>24</v>
      </c>
      <c r="E960" t="s">
        <v>15</v>
      </c>
      <c r="F960" s="2">
        <v>2782.33</v>
      </c>
      <c r="G960">
        <v>2</v>
      </c>
      <c r="H960" t="s">
        <v>29</v>
      </c>
      <c r="I960" s="2">
        <v>2250.91</v>
      </c>
      <c r="J960" s="2">
        <v>2558.6799999999998</v>
      </c>
      <c r="K960" t="s">
        <v>30</v>
      </c>
      <c r="L960" s="5">
        <v>0.09</v>
      </c>
      <c r="M960" t="s">
        <v>31</v>
      </c>
      <c r="N960" t="s">
        <v>22</v>
      </c>
      <c r="O960" t="s">
        <v>45</v>
      </c>
      <c r="P960" s="4">
        <f t="shared" si="28"/>
        <v>4656.7975999999999</v>
      </c>
      <c r="Q960" s="4">
        <f t="shared" si="29"/>
        <v>154.97760000000017</v>
      </c>
      <c r="R960" t="str">
        <f>IF( Table1[[#This Row],[Total Amount after sale]] &gt; 0,"PROFIT","LOSS")</f>
        <v>PROFIT</v>
      </c>
      <c r="S960" s="3">
        <f>(Table1[[#This Row],[Total Amount after sale]]/Table1[[#This Row],[Price after discount]])</f>
        <v>3.327986597484936E-2</v>
      </c>
    </row>
    <row r="961" spans="1:19" x14ac:dyDescent="0.3">
      <c r="A961">
        <v>1008</v>
      </c>
      <c r="B961" s="1">
        <v>45280</v>
      </c>
      <c r="C961" s="1">
        <f>DATE(YEAR(Table1[[#This Row],[Sale_Date]]), MONTH(Table1[[#This Row],[Sale_Date]]), 1)</f>
        <v>45261</v>
      </c>
      <c r="D961" t="s">
        <v>33</v>
      </c>
      <c r="E961" t="s">
        <v>21</v>
      </c>
      <c r="F961" s="2">
        <v>765.83</v>
      </c>
      <c r="G961">
        <v>23</v>
      </c>
      <c r="H961" t="s">
        <v>29</v>
      </c>
      <c r="I961" s="2">
        <v>2296.9299999999998</v>
      </c>
      <c r="J961" s="2">
        <v>2319.62</v>
      </c>
      <c r="K961" t="s">
        <v>17</v>
      </c>
      <c r="L961" s="5">
        <v>0.23</v>
      </c>
      <c r="M961" t="s">
        <v>27</v>
      </c>
      <c r="N961" t="s">
        <v>22</v>
      </c>
      <c r="O961" t="s">
        <v>37</v>
      </c>
      <c r="P961" s="4">
        <f t="shared" si="28"/>
        <v>41080.470199999996</v>
      </c>
      <c r="Q961" s="4">
        <f t="shared" si="29"/>
        <v>-11748.9198</v>
      </c>
      <c r="R961" t="str">
        <f>IF( Table1[[#This Row],[Total Amount after sale]] &gt; 0,"PROFIT","LOSS")</f>
        <v>LOSS</v>
      </c>
      <c r="S961" s="3">
        <f>(Table1[[#This Row],[Total Amount after sale]]/Table1[[#This Row],[Price after discount]])</f>
        <v>-0.28599769532336078</v>
      </c>
    </row>
    <row r="962" spans="1:19" x14ac:dyDescent="0.3">
      <c r="A962">
        <v>1100</v>
      </c>
      <c r="B962" s="1">
        <v>45280</v>
      </c>
      <c r="C962" s="1">
        <f>DATE(YEAR(Table1[[#This Row],[Sale_Date]]), MONTH(Table1[[#This Row],[Sale_Date]]), 1)</f>
        <v>45261</v>
      </c>
      <c r="D962" t="s">
        <v>24</v>
      </c>
      <c r="E962" t="s">
        <v>21</v>
      </c>
      <c r="F962" s="2">
        <v>1629.47</v>
      </c>
      <c r="G962">
        <v>39</v>
      </c>
      <c r="H962" t="s">
        <v>35</v>
      </c>
      <c r="I962" s="2">
        <v>3685.03</v>
      </c>
      <c r="J962" s="2">
        <v>3743.39</v>
      </c>
      <c r="K962" t="s">
        <v>30</v>
      </c>
      <c r="L962" s="5">
        <v>0.01</v>
      </c>
      <c r="M962" t="s">
        <v>27</v>
      </c>
      <c r="N962" t="s">
        <v>19</v>
      </c>
      <c r="O962" t="s">
        <v>47</v>
      </c>
      <c r="P962" s="4">
        <f t="shared" ref="P962:P1001" si="30" xml:space="preserve"> J962 * (1 - L962) * G962</f>
        <v>144532.2879</v>
      </c>
      <c r="Q962" s="4">
        <f t="shared" ref="Q962:Q1001" si="31" xml:space="preserve"> (J962 * (1 - L962) - I962) * G962</f>
        <v>816.11789999998746</v>
      </c>
      <c r="R962" t="str">
        <f>IF( Table1[[#This Row],[Total Amount after sale]] &gt; 0,"PROFIT","LOSS")</f>
        <v>PROFIT</v>
      </c>
      <c r="S962" s="3">
        <f>(Table1[[#This Row],[Total Amount after sale]]/Table1[[#This Row],[Price after discount]])</f>
        <v>5.6466130292260287E-3</v>
      </c>
    </row>
    <row r="963" spans="1:19" x14ac:dyDescent="0.3">
      <c r="A963">
        <v>1053</v>
      </c>
      <c r="B963" s="1">
        <v>45281</v>
      </c>
      <c r="C963" s="1">
        <f>DATE(YEAR(Table1[[#This Row],[Sale_Date]]), MONTH(Table1[[#This Row],[Sale_Date]]), 1)</f>
        <v>45261</v>
      </c>
      <c r="D963" t="s">
        <v>14</v>
      </c>
      <c r="E963" t="s">
        <v>15</v>
      </c>
      <c r="F963" s="2">
        <v>660.2</v>
      </c>
      <c r="G963">
        <v>44</v>
      </c>
      <c r="H963" t="s">
        <v>16</v>
      </c>
      <c r="I963" s="2">
        <v>2045</v>
      </c>
      <c r="J963" s="2">
        <v>2217.5100000000002</v>
      </c>
      <c r="K963" t="s">
        <v>17</v>
      </c>
      <c r="L963" s="5">
        <v>0.08</v>
      </c>
      <c r="M963" t="s">
        <v>31</v>
      </c>
      <c r="N963" t="s">
        <v>19</v>
      </c>
      <c r="O963" t="s">
        <v>20</v>
      </c>
      <c r="P963" s="4">
        <f t="shared" si="30"/>
        <v>89764.804800000013</v>
      </c>
      <c r="Q963" s="4">
        <f t="shared" si="31"/>
        <v>-215.19519999998556</v>
      </c>
      <c r="R963" t="str">
        <f>IF( Table1[[#This Row],[Total Amount after sale]] &gt; 0,"PROFIT","LOSS")</f>
        <v>LOSS</v>
      </c>
      <c r="S963" s="3">
        <f>(Table1[[#This Row],[Total Amount after sale]]/Table1[[#This Row],[Price after discount]])</f>
        <v>-2.397322653120564E-3</v>
      </c>
    </row>
    <row r="964" spans="1:19" x14ac:dyDescent="0.3">
      <c r="A964">
        <v>1004</v>
      </c>
      <c r="B964" s="1">
        <v>45282</v>
      </c>
      <c r="C964" s="1">
        <f>DATE(YEAR(Table1[[#This Row],[Sale_Date]]), MONTH(Table1[[#This Row],[Sale_Date]]), 1)</f>
        <v>45261</v>
      </c>
      <c r="D964" t="s">
        <v>38</v>
      </c>
      <c r="E964" t="s">
        <v>15</v>
      </c>
      <c r="F964" s="2">
        <v>8485.9</v>
      </c>
      <c r="G964">
        <v>11</v>
      </c>
      <c r="H964" t="s">
        <v>29</v>
      </c>
      <c r="I964" s="2">
        <v>4840.33</v>
      </c>
      <c r="J964" s="2">
        <v>4884.29</v>
      </c>
      <c r="K964" t="s">
        <v>30</v>
      </c>
      <c r="L964" s="5">
        <v>0.13</v>
      </c>
      <c r="M964" t="s">
        <v>18</v>
      </c>
      <c r="N964" t="s">
        <v>19</v>
      </c>
      <c r="O964" t="s">
        <v>40</v>
      </c>
      <c r="P964" s="4">
        <f t="shared" si="30"/>
        <v>46742.655299999999</v>
      </c>
      <c r="Q964" s="4">
        <f t="shared" si="31"/>
        <v>-6500.9746999999988</v>
      </c>
      <c r="R964" t="str">
        <f>IF( Table1[[#This Row],[Total Amount after sale]] &gt; 0,"PROFIT","LOSS")</f>
        <v>LOSS</v>
      </c>
      <c r="S964" s="3">
        <f>(Table1[[#This Row],[Total Amount after sale]]/Table1[[#This Row],[Price after discount]])</f>
        <v>-0.13908013265990046</v>
      </c>
    </row>
    <row r="965" spans="1:19" x14ac:dyDescent="0.3">
      <c r="A965">
        <v>1052</v>
      </c>
      <c r="B965" s="1">
        <v>45282</v>
      </c>
      <c r="C965" s="1">
        <f>DATE(YEAR(Table1[[#This Row],[Sale_Date]]), MONTH(Table1[[#This Row],[Sale_Date]]), 1)</f>
        <v>45261</v>
      </c>
      <c r="D965" t="s">
        <v>33</v>
      </c>
      <c r="E965" t="s">
        <v>21</v>
      </c>
      <c r="F965" s="2">
        <v>9509.5499999999993</v>
      </c>
      <c r="G965">
        <v>2</v>
      </c>
      <c r="H965" t="s">
        <v>16</v>
      </c>
      <c r="I965" s="2">
        <v>3752.68</v>
      </c>
      <c r="J965" s="2">
        <v>4017.91</v>
      </c>
      <c r="K965" t="s">
        <v>17</v>
      </c>
      <c r="L965" s="5">
        <v>0.16</v>
      </c>
      <c r="M965" t="s">
        <v>27</v>
      </c>
      <c r="N965" t="s">
        <v>19</v>
      </c>
      <c r="O965" t="s">
        <v>37</v>
      </c>
      <c r="P965" s="4">
        <f t="shared" si="30"/>
        <v>6750.0887999999995</v>
      </c>
      <c r="Q965" s="4">
        <f t="shared" si="31"/>
        <v>-755.27120000000014</v>
      </c>
      <c r="R965" t="str">
        <f>IF( Table1[[#This Row],[Total Amount after sale]] &gt; 0,"PROFIT","LOSS")</f>
        <v>LOSS</v>
      </c>
      <c r="S965" s="3">
        <f>(Table1[[#This Row],[Total Amount after sale]]/Table1[[#This Row],[Price after discount]])</f>
        <v>-0.11189055764718239</v>
      </c>
    </row>
    <row r="966" spans="1:19" x14ac:dyDescent="0.3">
      <c r="A966">
        <v>1025</v>
      </c>
      <c r="B966" s="1">
        <v>45282</v>
      </c>
      <c r="C966" s="1">
        <f>DATE(YEAR(Table1[[#This Row],[Sale_Date]]), MONTH(Table1[[#This Row],[Sale_Date]]), 1)</f>
        <v>45261</v>
      </c>
      <c r="D966" t="s">
        <v>14</v>
      </c>
      <c r="E966" t="s">
        <v>25</v>
      </c>
      <c r="F966" s="2">
        <v>6030.54</v>
      </c>
      <c r="G966">
        <v>11</v>
      </c>
      <c r="H966" t="s">
        <v>26</v>
      </c>
      <c r="I966" s="2">
        <v>1250.5899999999999</v>
      </c>
      <c r="J966" s="2">
        <v>1515.48999999999</v>
      </c>
      <c r="K966" t="s">
        <v>17</v>
      </c>
      <c r="L966" s="5">
        <v>0.21</v>
      </c>
      <c r="M966" t="s">
        <v>27</v>
      </c>
      <c r="N966" t="s">
        <v>22</v>
      </c>
      <c r="O966" t="s">
        <v>32</v>
      </c>
      <c r="P966" s="4">
        <f t="shared" si="30"/>
        <v>13169.608099999914</v>
      </c>
      <c r="Q966" s="4">
        <f t="shared" si="31"/>
        <v>-586.88190000008603</v>
      </c>
      <c r="R966" t="str">
        <f>IF( Table1[[#This Row],[Total Amount after sale]] &gt; 0,"PROFIT","LOSS")</f>
        <v>LOSS</v>
      </c>
      <c r="S966" s="3">
        <f>(Table1[[#This Row],[Total Amount after sale]]/Table1[[#This Row],[Price after discount]])</f>
        <v>-4.456335340761506E-2</v>
      </c>
    </row>
    <row r="967" spans="1:19" x14ac:dyDescent="0.3">
      <c r="A967">
        <v>1061</v>
      </c>
      <c r="B967" s="1">
        <v>45282</v>
      </c>
      <c r="C967" s="1">
        <f>DATE(YEAR(Table1[[#This Row],[Sale_Date]]), MONTH(Table1[[#This Row],[Sale_Date]]), 1)</f>
        <v>45261</v>
      </c>
      <c r="D967" t="s">
        <v>42</v>
      </c>
      <c r="E967" t="s">
        <v>15</v>
      </c>
      <c r="F967" s="2">
        <v>1990.17</v>
      </c>
      <c r="G967">
        <v>45</v>
      </c>
      <c r="H967" t="s">
        <v>29</v>
      </c>
      <c r="I967" s="2">
        <v>1364.51</v>
      </c>
      <c r="J967" s="2">
        <v>1844.8</v>
      </c>
      <c r="K967" t="s">
        <v>17</v>
      </c>
      <c r="L967" s="5">
        <v>0.18</v>
      </c>
      <c r="M967" t="s">
        <v>18</v>
      </c>
      <c r="N967" t="s">
        <v>19</v>
      </c>
      <c r="O967" t="s">
        <v>49</v>
      </c>
      <c r="P967" s="4">
        <f t="shared" si="30"/>
        <v>68073.12000000001</v>
      </c>
      <c r="Q967" s="4">
        <f t="shared" si="31"/>
        <v>6670.1700000000055</v>
      </c>
      <c r="R967" t="str">
        <f>IF( Table1[[#This Row],[Total Amount after sale]] &gt; 0,"PROFIT","LOSS")</f>
        <v>PROFIT</v>
      </c>
      <c r="S967" s="3">
        <f>(Table1[[#This Row],[Total Amount after sale]]/Table1[[#This Row],[Price after discount]])</f>
        <v>9.7985372199775836E-2</v>
      </c>
    </row>
    <row r="968" spans="1:19" x14ac:dyDescent="0.3">
      <c r="A968">
        <v>1001</v>
      </c>
      <c r="B968" s="1">
        <v>45282</v>
      </c>
      <c r="C968" s="1">
        <f>DATE(YEAR(Table1[[#This Row],[Sale_Date]]), MONTH(Table1[[#This Row],[Sale_Date]]), 1)</f>
        <v>45261</v>
      </c>
      <c r="D968" t="s">
        <v>24</v>
      </c>
      <c r="E968" t="s">
        <v>21</v>
      </c>
      <c r="F968" s="2">
        <v>8803.94</v>
      </c>
      <c r="G968">
        <v>45</v>
      </c>
      <c r="H968" t="s">
        <v>29</v>
      </c>
      <c r="I968" s="2">
        <v>1372.36</v>
      </c>
      <c r="J968" s="2">
        <v>1687.83</v>
      </c>
      <c r="K968" t="s">
        <v>30</v>
      </c>
      <c r="L968" s="5">
        <v>0.02</v>
      </c>
      <c r="M968" t="s">
        <v>31</v>
      </c>
      <c r="N968" t="s">
        <v>19</v>
      </c>
      <c r="O968" t="s">
        <v>47</v>
      </c>
      <c r="P968" s="4">
        <f t="shared" si="30"/>
        <v>74433.303</v>
      </c>
      <c r="Q968" s="4">
        <f t="shared" si="31"/>
        <v>12677.103000000005</v>
      </c>
      <c r="R968" t="str">
        <f>IF( Table1[[#This Row],[Total Amount after sale]] &gt; 0,"PROFIT","LOSS")</f>
        <v>PROFIT</v>
      </c>
      <c r="S968" s="3">
        <f>(Table1[[#This Row],[Total Amount after sale]]/Table1[[#This Row],[Price after discount]])</f>
        <v>0.17031493281978907</v>
      </c>
    </row>
    <row r="969" spans="1:19" x14ac:dyDescent="0.3">
      <c r="A969">
        <v>1052</v>
      </c>
      <c r="B969" s="1">
        <v>45282</v>
      </c>
      <c r="C969" s="1">
        <f>DATE(YEAR(Table1[[#This Row],[Sale_Date]]), MONTH(Table1[[#This Row],[Sale_Date]]), 1)</f>
        <v>45261</v>
      </c>
      <c r="D969" t="s">
        <v>33</v>
      </c>
      <c r="E969" t="s">
        <v>21</v>
      </c>
      <c r="F969" s="2">
        <v>2858.57</v>
      </c>
      <c r="G969">
        <v>18</v>
      </c>
      <c r="H969" t="s">
        <v>26</v>
      </c>
      <c r="I969" s="2">
        <v>1127.8599999999999</v>
      </c>
      <c r="J969" s="2">
        <v>1586.29</v>
      </c>
      <c r="K969" t="s">
        <v>30</v>
      </c>
      <c r="L969" s="5">
        <v>0.04</v>
      </c>
      <c r="M969" t="s">
        <v>31</v>
      </c>
      <c r="N969" t="s">
        <v>19</v>
      </c>
      <c r="O969" t="s">
        <v>37</v>
      </c>
      <c r="P969" s="4">
        <f t="shared" si="30"/>
        <v>27411.091199999999</v>
      </c>
      <c r="Q969" s="4">
        <f t="shared" si="31"/>
        <v>7109.6111999999994</v>
      </c>
      <c r="R969" t="str">
        <f>IF( Table1[[#This Row],[Total Amount after sale]] &gt; 0,"PROFIT","LOSS")</f>
        <v>PROFIT</v>
      </c>
      <c r="S969" s="3">
        <f>(Table1[[#This Row],[Total Amount after sale]]/Table1[[#This Row],[Price after discount]])</f>
        <v>0.25936987141905538</v>
      </c>
    </row>
    <row r="970" spans="1:19" x14ac:dyDescent="0.3">
      <c r="A970">
        <v>1017</v>
      </c>
      <c r="B970" s="1">
        <v>45283</v>
      </c>
      <c r="C970" s="1">
        <f>DATE(YEAR(Table1[[#This Row],[Sale_Date]]), MONTH(Table1[[#This Row],[Sale_Date]]), 1)</f>
        <v>45261</v>
      </c>
      <c r="D970" t="s">
        <v>42</v>
      </c>
      <c r="E970" t="s">
        <v>34</v>
      </c>
      <c r="F970" s="2">
        <v>780.27</v>
      </c>
      <c r="G970">
        <v>33</v>
      </c>
      <c r="H970" t="s">
        <v>26</v>
      </c>
      <c r="I970" s="2">
        <v>1551.25</v>
      </c>
      <c r="J970" s="2">
        <v>1994.01</v>
      </c>
      <c r="K970" t="s">
        <v>17</v>
      </c>
      <c r="L970" s="5">
        <v>0.08</v>
      </c>
      <c r="M970" t="s">
        <v>18</v>
      </c>
      <c r="N970" t="s">
        <v>19</v>
      </c>
      <c r="O970" t="s">
        <v>52</v>
      </c>
      <c r="P970" s="4">
        <f t="shared" si="30"/>
        <v>60538.143599999996</v>
      </c>
      <c r="Q970" s="4">
        <f t="shared" si="31"/>
        <v>9346.8935999999994</v>
      </c>
      <c r="R970" t="str">
        <f>IF( Table1[[#This Row],[Total Amount after sale]] &gt; 0,"PROFIT","LOSS")</f>
        <v>PROFIT</v>
      </c>
      <c r="S970" s="3">
        <f>(Table1[[#This Row],[Total Amount after sale]]/Table1[[#This Row],[Price after discount]])</f>
        <v>0.15439676614067829</v>
      </c>
    </row>
    <row r="971" spans="1:19" x14ac:dyDescent="0.3">
      <c r="A971">
        <v>1023</v>
      </c>
      <c r="B971" s="1">
        <v>45283</v>
      </c>
      <c r="C971" s="1">
        <f>DATE(YEAR(Table1[[#This Row],[Sale_Date]]), MONTH(Table1[[#This Row],[Sale_Date]]), 1)</f>
        <v>45261</v>
      </c>
      <c r="D971" t="s">
        <v>14</v>
      </c>
      <c r="E971" t="s">
        <v>34</v>
      </c>
      <c r="F971" s="2">
        <v>1875.62</v>
      </c>
      <c r="G971">
        <v>47</v>
      </c>
      <c r="H971" t="s">
        <v>35</v>
      </c>
      <c r="I971" s="2">
        <v>3374.72</v>
      </c>
      <c r="J971" s="2">
        <v>3483.1499999999901</v>
      </c>
      <c r="K971" t="s">
        <v>17</v>
      </c>
      <c r="L971" s="5">
        <v>0.18</v>
      </c>
      <c r="M971" t="s">
        <v>18</v>
      </c>
      <c r="N971" t="s">
        <v>19</v>
      </c>
      <c r="O971" t="s">
        <v>46</v>
      </c>
      <c r="P971" s="4">
        <f t="shared" si="30"/>
        <v>134240.60099999965</v>
      </c>
      <c r="Q971" s="4">
        <f t="shared" si="31"/>
        <v>-24371.239000000354</v>
      </c>
      <c r="R971" t="str">
        <f>IF( Table1[[#This Row],[Total Amount after sale]] &gt; 0,"PROFIT","LOSS")</f>
        <v>LOSS</v>
      </c>
      <c r="S971" s="3">
        <f>(Table1[[#This Row],[Total Amount after sale]]/Table1[[#This Row],[Price after discount]])</f>
        <v>-0.18154894136685532</v>
      </c>
    </row>
    <row r="972" spans="1:19" x14ac:dyDescent="0.3">
      <c r="A972">
        <v>1089</v>
      </c>
      <c r="B972" s="1">
        <v>45285</v>
      </c>
      <c r="C972" s="1">
        <f>DATE(YEAR(Table1[[#This Row],[Sale_Date]]), MONTH(Table1[[#This Row],[Sale_Date]]), 1)</f>
        <v>45261</v>
      </c>
      <c r="D972" t="s">
        <v>38</v>
      </c>
      <c r="E972" t="s">
        <v>25</v>
      </c>
      <c r="F972" s="2">
        <v>2032.88</v>
      </c>
      <c r="G972">
        <v>32</v>
      </c>
      <c r="H972" t="s">
        <v>29</v>
      </c>
      <c r="I972" s="2">
        <v>4248.5</v>
      </c>
      <c r="J972" s="2">
        <v>4706.7</v>
      </c>
      <c r="K972" t="s">
        <v>30</v>
      </c>
      <c r="L972" s="5">
        <v>0.01</v>
      </c>
      <c r="M972" t="s">
        <v>27</v>
      </c>
      <c r="N972" t="s">
        <v>22</v>
      </c>
      <c r="O972" t="s">
        <v>39</v>
      </c>
      <c r="P972" s="4">
        <f t="shared" si="30"/>
        <v>149108.25599999999</v>
      </c>
      <c r="Q972" s="4">
        <f t="shared" si="31"/>
        <v>13156.255999999994</v>
      </c>
      <c r="R972" t="str">
        <f>IF( Table1[[#This Row],[Total Amount after sale]] &gt; 0,"PROFIT","LOSS")</f>
        <v>PROFIT</v>
      </c>
      <c r="S972" s="3">
        <f>(Table1[[#This Row],[Total Amount after sale]]/Table1[[#This Row],[Price after discount]])</f>
        <v>8.8232914480603913E-2</v>
      </c>
    </row>
    <row r="973" spans="1:19" x14ac:dyDescent="0.3">
      <c r="A973">
        <v>1047</v>
      </c>
      <c r="B973" s="1">
        <v>45285</v>
      </c>
      <c r="C973" s="1">
        <f>DATE(YEAR(Table1[[#This Row],[Sale_Date]]), MONTH(Table1[[#This Row],[Sale_Date]]), 1)</f>
        <v>45261</v>
      </c>
      <c r="D973" t="s">
        <v>24</v>
      </c>
      <c r="E973" t="s">
        <v>15</v>
      </c>
      <c r="F973" s="2">
        <v>7405.06</v>
      </c>
      <c r="G973">
        <v>43</v>
      </c>
      <c r="H973" t="s">
        <v>35</v>
      </c>
      <c r="I973" s="2">
        <v>1249.17</v>
      </c>
      <c r="J973" s="2">
        <v>1727.15</v>
      </c>
      <c r="K973" t="s">
        <v>30</v>
      </c>
      <c r="L973" s="5">
        <v>0.08</v>
      </c>
      <c r="M973" t="s">
        <v>18</v>
      </c>
      <c r="N973" t="s">
        <v>22</v>
      </c>
      <c r="O973" t="s">
        <v>45</v>
      </c>
      <c r="P973" s="4">
        <f t="shared" si="30"/>
        <v>68326.054000000004</v>
      </c>
      <c r="Q973" s="4">
        <f t="shared" si="31"/>
        <v>14611.743999999999</v>
      </c>
      <c r="R973" t="str">
        <f>IF( Table1[[#This Row],[Total Amount after sale]] &gt; 0,"PROFIT","LOSS")</f>
        <v>PROFIT</v>
      </c>
      <c r="S973" s="3">
        <f>(Table1[[#This Row],[Total Amount after sale]]/Table1[[#This Row],[Price after discount]])</f>
        <v>0.21385318110131163</v>
      </c>
    </row>
    <row r="974" spans="1:19" x14ac:dyDescent="0.3">
      <c r="A974">
        <v>1010</v>
      </c>
      <c r="B974" s="1">
        <v>45285</v>
      </c>
      <c r="C974" s="1">
        <f>DATE(YEAR(Table1[[#This Row],[Sale_Date]]), MONTH(Table1[[#This Row],[Sale_Date]]), 1)</f>
        <v>45261</v>
      </c>
      <c r="D974" t="s">
        <v>24</v>
      </c>
      <c r="E974" t="s">
        <v>25</v>
      </c>
      <c r="F974" s="2">
        <v>2418.61</v>
      </c>
      <c r="G974">
        <v>30</v>
      </c>
      <c r="H974" t="s">
        <v>26</v>
      </c>
      <c r="I974" s="2">
        <v>3289.01</v>
      </c>
      <c r="J974" s="2">
        <v>3508.14</v>
      </c>
      <c r="K974" t="s">
        <v>30</v>
      </c>
      <c r="L974" s="5">
        <v>0.17</v>
      </c>
      <c r="M974" t="s">
        <v>27</v>
      </c>
      <c r="N974" t="s">
        <v>22</v>
      </c>
      <c r="O974" t="s">
        <v>28</v>
      </c>
      <c r="P974" s="4">
        <f t="shared" si="30"/>
        <v>87352.685999999987</v>
      </c>
      <c r="Q974" s="4">
        <f t="shared" si="31"/>
        <v>-11317.614000000012</v>
      </c>
      <c r="R974" t="str">
        <f>IF( Table1[[#This Row],[Total Amount after sale]] &gt; 0,"PROFIT","LOSS")</f>
        <v>LOSS</v>
      </c>
      <c r="S974" s="3">
        <f>(Table1[[#This Row],[Total Amount after sale]]/Table1[[#This Row],[Price after discount]])</f>
        <v>-0.12956228959004207</v>
      </c>
    </row>
    <row r="975" spans="1:19" x14ac:dyDescent="0.3">
      <c r="A975">
        <v>1056</v>
      </c>
      <c r="B975" s="1">
        <v>45285</v>
      </c>
      <c r="C975" s="1">
        <f>DATE(YEAR(Table1[[#This Row],[Sale_Date]]), MONTH(Table1[[#This Row],[Sale_Date]]), 1)</f>
        <v>45261</v>
      </c>
      <c r="D975" t="s">
        <v>14</v>
      </c>
      <c r="E975" t="s">
        <v>15</v>
      </c>
      <c r="F975" s="2">
        <v>2809.04</v>
      </c>
      <c r="G975">
        <v>25</v>
      </c>
      <c r="H975" t="s">
        <v>29</v>
      </c>
      <c r="I975" s="2">
        <v>1154.28</v>
      </c>
      <c r="J975" s="2">
        <v>1408.4</v>
      </c>
      <c r="K975" t="s">
        <v>17</v>
      </c>
      <c r="L975" s="5">
        <v>0.28999999999999998</v>
      </c>
      <c r="M975" t="s">
        <v>27</v>
      </c>
      <c r="N975" t="s">
        <v>22</v>
      </c>
      <c r="O975" t="s">
        <v>20</v>
      </c>
      <c r="P975" s="4">
        <f t="shared" si="30"/>
        <v>24999.100000000002</v>
      </c>
      <c r="Q975" s="4">
        <f t="shared" si="31"/>
        <v>-3857.8999999999978</v>
      </c>
      <c r="R975" t="str">
        <f>IF( Table1[[#This Row],[Total Amount after sale]] &gt; 0,"PROFIT","LOSS")</f>
        <v>LOSS</v>
      </c>
      <c r="S975" s="3">
        <f>(Table1[[#This Row],[Total Amount after sale]]/Table1[[#This Row],[Price after discount]])</f>
        <v>-0.15432155557600064</v>
      </c>
    </row>
    <row r="976" spans="1:19" x14ac:dyDescent="0.3">
      <c r="A976">
        <v>1005</v>
      </c>
      <c r="B976" s="1">
        <v>45285</v>
      </c>
      <c r="C976" s="1">
        <f>DATE(YEAR(Table1[[#This Row],[Sale_Date]]), MONTH(Table1[[#This Row],[Sale_Date]]), 1)</f>
        <v>45261</v>
      </c>
      <c r="D976" t="s">
        <v>42</v>
      </c>
      <c r="E976" t="s">
        <v>25</v>
      </c>
      <c r="F976" s="2">
        <v>8635.81</v>
      </c>
      <c r="G976">
        <v>28</v>
      </c>
      <c r="H976" t="s">
        <v>16</v>
      </c>
      <c r="I976" s="2">
        <v>2146.2399999999998</v>
      </c>
      <c r="J976" s="2">
        <v>2173.4699999999998</v>
      </c>
      <c r="K976" t="s">
        <v>17</v>
      </c>
      <c r="L976" s="5">
        <v>0.1</v>
      </c>
      <c r="M976" t="s">
        <v>18</v>
      </c>
      <c r="N976" t="s">
        <v>22</v>
      </c>
      <c r="O976" t="s">
        <v>43</v>
      </c>
      <c r="P976" s="4">
        <f t="shared" si="30"/>
        <v>54771.443999999996</v>
      </c>
      <c r="Q976" s="4">
        <f t="shared" si="31"/>
        <v>-5323.2759999999989</v>
      </c>
      <c r="R976" t="str">
        <f>IF( Table1[[#This Row],[Total Amount after sale]] &gt; 0,"PROFIT","LOSS")</f>
        <v>LOSS</v>
      </c>
      <c r="S976" s="3">
        <f>(Table1[[#This Row],[Total Amount after sale]]/Table1[[#This Row],[Price after discount]])</f>
        <v>-9.719071857955762E-2</v>
      </c>
    </row>
    <row r="977" spans="1:19" x14ac:dyDescent="0.3">
      <c r="A977">
        <v>1072</v>
      </c>
      <c r="B977" s="1">
        <v>45286</v>
      </c>
      <c r="C977" s="1">
        <f>DATE(YEAR(Table1[[#This Row],[Sale_Date]]), MONTH(Table1[[#This Row],[Sale_Date]]), 1)</f>
        <v>45261</v>
      </c>
      <c r="D977" t="s">
        <v>33</v>
      </c>
      <c r="E977" t="s">
        <v>15</v>
      </c>
      <c r="F977" s="2">
        <v>3635.5</v>
      </c>
      <c r="G977">
        <v>23</v>
      </c>
      <c r="H977" t="s">
        <v>16</v>
      </c>
      <c r="I977" s="2">
        <v>1662.83</v>
      </c>
      <c r="J977" s="2">
        <v>2074.25</v>
      </c>
      <c r="K977" t="s">
        <v>30</v>
      </c>
      <c r="L977" s="5">
        <v>0.12</v>
      </c>
      <c r="M977" t="s">
        <v>27</v>
      </c>
      <c r="N977" t="s">
        <v>19</v>
      </c>
      <c r="O977" t="s">
        <v>53</v>
      </c>
      <c r="P977" s="4">
        <f t="shared" si="30"/>
        <v>41982.82</v>
      </c>
      <c r="Q977" s="4">
        <f t="shared" si="31"/>
        <v>3737.7299999999996</v>
      </c>
      <c r="R977" t="str">
        <f>IF( Table1[[#This Row],[Total Amount after sale]] &gt; 0,"PROFIT","LOSS")</f>
        <v>PROFIT</v>
      </c>
      <c r="S977" s="3">
        <f>(Table1[[#This Row],[Total Amount after sale]]/Table1[[#This Row],[Price after discount]])</f>
        <v>8.9029988933568532E-2</v>
      </c>
    </row>
    <row r="978" spans="1:19" x14ac:dyDescent="0.3">
      <c r="A978">
        <v>1099</v>
      </c>
      <c r="B978" s="1">
        <v>45286</v>
      </c>
      <c r="C978" s="1">
        <f>DATE(YEAR(Table1[[#This Row],[Sale_Date]]), MONTH(Table1[[#This Row],[Sale_Date]]), 1)</f>
        <v>45261</v>
      </c>
      <c r="D978" t="s">
        <v>38</v>
      </c>
      <c r="E978" t="s">
        <v>21</v>
      </c>
      <c r="F978" s="2">
        <v>6644.04</v>
      </c>
      <c r="G978">
        <v>25</v>
      </c>
      <c r="H978" t="s">
        <v>35</v>
      </c>
      <c r="I978" s="2">
        <v>4148.4799999999996</v>
      </c>
      <c r="J978" s="2">
        <v>4293.6899999999996</v>
      </c>
      <c r="K978" t="s">
        <v>30</v>
      </c>
      <c r="L978" s="5">
        <v>0.11</v>
      </c>
      <c r="M978" t="s">
        <v>27</v>
      </c>
      <c r="N978" t="s">
        <v>19</v>
      </c>
      <c r="O978" t="s">
        <v>41</v>
      </c>
      <c r="P978" s="4">
        <f t="shared" si="30"/>
        <v>95534.602499999994</v>
      </c>
      <c r="Q978" s="4">
        <f t="shared" si="31"/>
        <v>-8177.3974999999955</v>
      </c>
      <c r="R978" t="str">
        <f>IF( Table1[[#This Row],[Total Amount after sale]] &gt; 0,"PROFIT","LOSS")</f>
        <v>LOSS</v>
      </c>
      <c r="S978" s="3">
        <f>(Table1[[#This Row],[Total Amount after sale]]/Table1[[#This Row],[Price after discount]])</f>
        <v>-8.5596184900648908E-2</v>
      </c>
    </row>
    <row r="979" spans="1:19" x14ac:dyDescent="0.3">
      <c r="A979">
        <v>1024</v>
      </c>
      <c r="B979" s="1">
        <v>45286</v>
      </c>
      <c r="C979" s="1">
        <f>DATE(YEAR(Table1[[#This Row],[Sale_Date]]), MONTH(Table1[[#This Row],[Sale_Date]]), 1)</f>
        <v>45261</v>
      </c>
      <c r="D979" t="s">
        <v>24</v>
      </c>
      <c r="E979" t="s">
        <v>15</v>
      </c>
      <c r="F979" s="2">
        <v>2565.19</v>
      </c>
      <c r="G979">
        <v>17</v>
      </c>
      <c r="H979" t="s">
        <v>16</v>
      </c>
      <c r="I979" s="2">
        <v>4114.66</v>
      </c>
      <c r="J979" s="2">
        <v>4269.0199999999904</v>
      </c>
      <c r="K979" t="s">
        <v>17</v>
      </c>
      <c r="L979" s="5">
        <v>0.27</v>
      </c>
      <c r="M979" t="s">
        <v>27</v>
      </c>
      <c r="N979" t="s">
        <v>22</v>
      </c>
      <c r="O979" t="s">
        <v>45</v>
      </c>
      <c r="P979" s="4">
        <f t="shared" si="30"/>
        <v>52978.538199999879</v>
      </c>
      <c r="Q979" s="4">
        <f t="shared" si="31"/>
        <v>-16970.681800000115</v>
      </c>
      <c r="R979" t="str">
        <f>IF( Table1[[#This Row],[Total Amount after sale]] &gt; 0,"PROFIT","LOSS")</f>
        <v>LOSS</v>
      </c>
      <c r="S979" s="3">
        <f>(Table1[[#This Row],[Total Amount after sale]]/Table1[[#This Row],[Price after discount]])</f>
        <v>-0.32033125821505121</v>
      </c>
    </row>
    <row r="980" spans="1:19" x14ac:dyDescent="0.3">
      <c r="A980">
        <v>1032</v>
      </c>
      <c r="B980" s="1">
        <v>45286</v>
      </c>
      <c r="C980" s="1">
        <f>DATE(YEAR(Table1[[#This Row],[Sale_Date]]), MONTH(Table1[[#This Row],[Sale_Date]]), 1)</f>
        <v>45261</v>
      </c>
      <c r="D980" t="s">
        <v>24</v>
      </c>
      <c r="E980" t="s">
        <v>25</v>
      </c>
      <c r="F980" s="2">
        <v>4244.21</v>
      </c>
      <c r="G980">
        <v>11</v>
      </c>
      <c r="H980" t="s">
        <v>29</v>
      </c>
      <c r="I980" s="2">
        <v>4100.62</v>
      </c>
      <c r="J980" s="2">
        <v>4230</v>
      </c>
      <c r="K980" t="s">
        <v>30</v>
      </c>
      <c r="L980" s="5">
        <v>0.28999999999999998</v>
      </c>
      <c r="M980" t="s">
        <v>27</v>
      </c>
      <c r="N980" t="s">
        <v>19</v>
      </c>
      <c r="O980" t="s">
        <v>28</v>
      </c>
      <c r="P980" s="4">
        <f t="shared" si="30"/>
        <v>33036.299999999996</v>
      </c>
      <c r="Q980" s="4">
        <f t="shared" si="31"/>
        <v>-12070.520000000002</v>
      </c>
      <c r="R980" t="str">
        <f>IF( Table1[[#This Row],[Total Amount after sale]] &gt; 0,"PROFIT","LOSS")</f>
        <v>LOSS</v>
      </c>
      <c r="S980" s="3">
        <f>(Table1[[#This Row],[Total Amount after sale]]/Table1[[#This Row],[Price after discount]])</f>
        <v>-0.36537142476609075</v>
      </c>
    </row>
    <row r="981" spans="1:19" x14ac:dyDescent="0.3">
      <c r="A981">
        <v>1071</v>
      </c>
      <c r="B981" s="1">
        <v>45287</v>
      </c>
      <c r="C981" s="1">
        <f>DATE(YEAR(Table1[[#This Row],[Sale_Date]]), MONTH(Table1[[#This Row],[Sale_Date]]), 1)</f>
        <v>45261</v>
      </c>
      <c r="D981" t="s">
        <v>24</v>
      </c>
      <c r="E981" t="s">
        <v>34</v>
      </c>
      <c r="F981" s="2">
        <v>4752.88</v>
      </c>
      <c r="G981">
        <v>40</v>
      </c>
      <c r="H981" t="s">
        <v>26</v>
      </c>
      <c r="I981" s="2">
        <v>1447.72</v>
      </c>
      <c r="J981" s="2">
        <v>1875.75</v>
      </c>
      <c r="K981" t="s">
        <v>30</v>
      </c>
      <c r="L981" s="5">
        <v>0.13</v>
      </c>
      <c r="M981" t="s">
        <v>18</v>
      </c>
      <c r="N981" t="s">
        <v>22</v>
      </c>
      <c r="O981" t="s">
        <v>50</v>
      </c>
      <c r="P981" s="4">
        <f t="shared" si="30"/>
        <v>65276.1</v>
      </c>
      <c r="Q981" s="4">
        <f t="shared" si="31"/>
        <v>7367.2999999999956</v>
      </c>
      <c r="R981" t="str">
        <f>IF( Table1[[#This Row],[Total Amount after sale]] &gt; 0,"PROFIT","LOSS")</f>
        <v>PROFIT</v>
      </c>
      <c r="S981" s="3">
        <f>(Table1[[#This Row],[Total Amount after sale]]/Table1[[#This Row],[Price after discount]])</f>
        <v>0.1128636667938188</v>
      </c>
    </row>
    <row r="982" spans="1:19" x14ac:dyDescent="0.3">
      <c r="A982">
        <v>1057</v>
      </c>
      <c r="B982" s="1">
        <v>45287</v>
      </c>
      <c r="C982" s="1">
        <f>DATE(YEAR(Table1[[#This Row],[Sale_Date]]), MONTH(Table1[[#This Row],[Sale_Date]]), 1)</f>
        <v>45261</v>
      </c>
      <c r="D982" t="s">
        <v>14</v>
      </c>
      <c r="E982" t="s">
        <v>25</v>
      </c>
      <c r="F982" s="2">
        <v>3772.32</v>
      </c>
      <c r="G982">
        <v>31</v>
      </c>
      <c r="H982" t="s">
        <v>16</v>
      </c>
      <c r="I982" s="2">
        <v>2403.16</v>
      </c>
      <c r="J982" s="2">
        <v>2453.35</v>
      </c>
      <c r="K982" t="s">
        <v>17</v>
      </c>
      <c r="L982" s="5">
        <v>0.19</v>
      </c>
      <c r="M982" t="s">
        <v>31</v>
      </c>
      <c r="N982" t="s">
        <v>19</v>
      </c>
      <c r="O982" t="s">
        <v>32</v>
      </c>
      <c r="P982" s="4">
        <f t="shared" si="30"/>
        <v>61603.618500000004</v>
      </c>
      <c r="Q982" s="4">
        <f t="shared" si="31"/>
        <v>-12894.341499999993</v>
      </c>
      <c r="R982" t="str">
        <f>IF( Table1[[#This Row],[Total Amount after sale]] &gt; 0,"PROFIT","LOSS")</f>
        <v>LOSS</v>
      </c>
      <c r="S982" s="3">
        <f>(Table1[[#This Row],[Total Amount after sale]]/Table1[[#This Row],[Price after discount]])</f>
        <v>-0.20931143030177671</v>
      </c>
    </row>
    <row r="983" spans="1:19" x14ac:dyDescent="0.3">
      <c r="A983">
        <v>1056</v>
      </c>
      <c r="B983" s="1">
        <v>45287</v>
      </c>
      <c r="C983" s="1">
        <f>DATE(YEAR(Table1[[#This Row],[Sale_Date]]), MONTH(Table1[[#This Row],[Sale_Date]]), 1)</f>
        <v>45261</v>
      </c>
      <c r="D983" t="s">
        <v>14</v>
      </c>
      <c r="E983" t="s">
        <v>34</v>
      </c>
      <c r="F983" s="2">
        <v>7979.67</v>
      </c>
      <c r="G983">
        <v>4</v>
      </c>
      <c r="H983" t="s">
        <v>26</v>
      </c>
      <c r="I983" s="2">
        <v>1612.82</v>
      </c>
      <c r="J983" s="2">
        <v>1647.25</v>
      </c>
      <c r="K983" t="s">
        <v>17</v>
      </c>
      <c r="L983" s="5">
        <v>0.04</v>
      </c>
      <c r="M983" t="s">
        <v>31</v>
      </c>
      <c r="N983" t="s">
        <v>22</v>
      </c>
      <c r="O983" t="s">
        <v>46</v>
      </c>
      <c r="P983" s="4">
        <f t="shared" si="30"/>
        <v>6325.44</v>
      </c>
      <c r="Q983" s="4">
        <f t="shared" si="31"/>
        <v>-125.84000000000015</v>
      </c>
      <c r="R983" t="str">
        <f>IF( Table1[[#This Row],[Total Amount after sale]] &gt; 0,"PROFIT","LOSS")</f>
        <v>LOSS</v>
      </c>
      <c r="S983" s="3">
        <f>(Table1[[#This Row],[Total Amount after sale]]/Table1[[#This Row],[Price after discount]])</f>
        <v>-1.9894268224819166E-2</v>
      </c>
    </row>
    <row r="984" spans="1:19" x14ac:dyDescent="0.3">
      <c r="A984">
        <v>1065</v>
      </c>
      <c r="B984" s="1">
        <v>45288</v>
      </c>
      <c r="C984" s="1">
        <f>DATE(YEAR(Table1[[#This Row],[Sale_Date]]), MONTH(Table1[[#This Row],[Sale_Date]]), 1)</f>
        <v>45261</v>
      </c>
      <c r="D984" t="s">
        <v>24</v>
      </c>
      <c r="E984" t="s">
        <v>21</v>
      </c>
      <c r="F984" s="2">
        <v>6139.07</v>
      </c>
      <c r="G984">
        <v>18</v>
      </c>
      <c r="H984" t="s">
        <v>26</v>
      </c>
      <c r="I984" s="2">
        <v>4334.58</v>
      </c>
      <c r="J984" s="2">
        <v>4431.04</v>
      </c>
      <c r="K984" t="s">
        <v>30</v>
      </c>
      <c r="L984" s="5">
        <v>0.02</v>
      </c>
      <c r="M984" t="s">
        <v>27</v>
      </c>
      <c r="N984" t="s">
        <v>22</v>
      </c>
      <c r="O984" t="s">
        <v>47</v>
      </c>
      <c r="P984" s="4">
        <f t="shared" si="30"/>
        <v>78163.545600000012</v>
      </c>
      <c r="Q984" s="4">
        <f t="shared" si="31"/>
        <v>141.10560000000623</v>
      </c>
      <c r="R984" t="str">
        <f>IF( Table1[[#This Row],[Total Amount after sale]] &gt; 0,"PROFIT","LOSS")</f>
        <v>PROFIT</v>
      </c>
      <c r="S984" s="3">
        <f>(Table1[[#This Row],[Total Amount after sale]]/Table1[[#This Row],[Price after discount]])</f>
        <v>1.8052609936876534E-3</v>
      </c>
    </row>
    <row r="985" spans="1:19" x14ac:dyDescent="0.3">
      <c r="A985">
        <v>1086</v>
      </c>
      <c r="B985" s="1">
        <v>45288</v>
      </c>
      <c r="C985" s="1">
        <f>DATE(YEAR(Table1[[#This Row],[Sale_Date]]), MONTH(Table1[[#This Row],[Sale_Date]]), 1)</f>
        <v>45261</v>
      </c>
      <c r="D985" t="s">
        <v>14</v>
      </c>
      <c r="E985" t="s">
        <v>21</v>
      </c>
      <c r="F985" s="2">
        <v>1837.37</v>
      </c>
      <c r="G985">
        <v>46</v>
      </c>
      <c r="H985" t="s">
        <v>16</v>
      </c>
      <c r="I985" s="2">
        <v>83.86</v>
      </c>
      <c r="J985" s="2">
        <v>526.14</v>
      </c>
      <c r="K985" t="s">
        <v>17</v>
      </c>
      <c r="L985" s="5">
        <v>0.11</v>
      </c>
      <c r="M985" t="s">
        <v>31</v>
      </c>
      <c r="N985" t="s">
        <v>19</v>
      </c>
      <c r="O985" t="s">
        <v>23</v>
      </c>
      <c r="P985" s="4">
        <f t="shared" si="30"/>
        <v>21540.171599999998</v>
      </c>
      <c r="Q985" s="4">
        <f t="shared" si="31"/>
        <v>17682.611599999997</v>
      </c>
      <c r="R985" t="str">
        <f>IF( Table1[[#This Row],[Total Amount after sale]] &gt; 0,"PROFIT","LOSS")</f>
        <v>PROFIT</v>
      </c>
      <c r="S985" s="3">
        <f>(Table1[[#This Row],[Total Amount after sale]]/Table1[[#This Row],[Price after discount]])</f>
        <v>0.82091321872291856</v>
      </c>
    </row>
    <row r="986" spans="1:19" x14ac:dyDescent="0.3">
      <c r="A986">
        <v>1024</v>
      </c>
      <c r="B986" s="1">
        <v>45289</v>
      </c>
      <c r="C986" s="1">
        <f>DATE(YEAR(Table1[[#This Row],[Sale_Date]]), MONTH(Table1[[#This Row],[Sale_Date]]), 1)</f>
        <v>45261</v>
      </c>
      <c r="D986" t="s">
        <v>38</v>
      </c>
      <c r="E986" t="s">
        <v>15</v>
      </c>
      <c r="F986" s="2">
        <v>9190.57</v>
      </c>
      <c r="G986">
        <v>5</v>
      </c>
      <c r="H986" t="s">
        <v>16</v>
      </c>
      <c r="I986" s="2">
        <v>3417.9</v>
      </c>
      <c r="J986" s="2">
        <v>3714.52</v>
      </c>
      <c r="K986" t="s">
        <v>17</v>
      </c>
      <c r="L986" s="5">
        <v>0.27</v>
      </c>
      <c r="M986" t="s">
        <v>31</v>
      </c>
      <c r="N986" t="s">
        <v>22</v>
      </c>
      <c r="O986" t="s">
        <v>40</v>
      </c>
      <c r="P986" s="4">
        <f t="shared" si="30"/>
        <v>13557.998</v>
      </c>
      <c r="Q986" s="4">
        <f t="shared" si="31"/>
        <v>-3531.5020000000004</v>
      </c>
      <c r="R986" t="str">
        <f>IF( Table1[[#This Row],[Total Amount after sale]] &gt; 0,"PROFIT","LOSS")</f>
        <v>LOSS</v>
      </c>
      <c r="S986" s="3">
        <f>(Table1[[#This Row],[Total Amount after sale]]/Table1[[#This Row],[Price after discount]])</f>
        <v>-0.26047370710631468</v>
      </c>
    </row>
    <row r="987" spans="1:19" x14ac:dyDescent="0.3">
      <c r="A987">
        <v>1022</v>
      </c>
      <c r="B987" s="1">
        <v>45289</v>
      </c>
      <c r="C987" s="1">
        <f>DATE(YEAR(Table1[[#This Row],[Sale_Date]]), MONTH(Table1[[#This Row],[Sale_Date]]), 1)</f>
        <v>45261</v>
      </c>
      <c r="D987" t="s">
        <v>24</v>
      </c>
      <c r="E987" t="s">
        <v>15</v>
      </c>
      <c r="F987" s="2">
        <v>4557.5200000000004</v>
      </c>
      <c r="G987">
        <v>10</v>
      </c>
      <c r="H987" t="s">
        <v>16</v>
      </c>
      <c r="I987" s="2">
        <v>1830.61</v>
      </c>
      <c r="J987" s="2">
        <v>2044.04</v>
      </c>
      <c r="K987" t="s">
        <v>30</v>
      </c>
      <c r="L987" s="5">
        <v>0.11</v>
      </c>
      <c r="M987" t="s">
        <v>18</v>
      </c>
      <c r="N987" t="s">
        <v>19</v>
      </c>
      <c r="O987" t="s">
        <v>45</v>
      </c>
      <c r="P987" s="4">
        <f t="shared" si="30"/>
        <v>18191.955999999998</v>
      </c>
      <c r="Q987" s="4">
        <f t="shared" si="31"/>
        <v>-114.14399999999887</v>
      </c>
      <c r="R987" t="str">
        <f>IF( Table1[[#This Row],[Total Amount after sale]] &gt; 0,"PROFIT","LOSS")</f>
        <v>LOSS</v>
      </c>
      <c r="S987" s="3">
        <f>(Table1[[#This Row],[Total Amount after sale]]/Table1[[#This Row],[Price after discount]])</f>
        <v>-6.2744215080554767E-3</v>
      </c>
    </row>
    <row r="988" spans="1:19" x14ac:dyDescent="0.3">
      <c r="A988">
        <v>1058</v>
      </c>
      <c r="B988" s="1">
        <v>45289</v>
      </c>
      <c r="C988" s="1">
        <f>DATE(YEAR(Table1[[#This Row],[Sale_Date]]), MONTH(Table1[[#This Row],[Sale_Date]]), 1)</f>
        <v>45261</v>
      </c>
      <c r="D988" t="s">
        <v>24</v>
      </c>
      <c r="E988" t="s">
        <v>15</v>
      </c>
      <c r="F988" s="2">
        <v>2714.21</v>
      </c>
      <c r="G988">
        <v>34</v>
      </c>
      <c r="H988" t="s">
        <v>35</v>
      </c>
      <c r="I988" s="2">
        <v>3160.61</v>
      </c>
      <c r="J988" s="2">
        <v>3273.22</v>
      </c>
      <c r="K988" t="s">
        <v>17</v>
      </c>
      <c r="L988" s="5">
        <v>0.08</v>
      </c>
      <c r="M988" t="s">
        <v>31</v>
      </c>
      <c r="N988" t="s">
        <v>22</v>
      </c>
      <c r="O988" t="s">
        <v>45</v>
      </c>
      <c r="P988" s="4">
        <f t="shared" si="30"/>
        <v>102386.3216</v>
      </c>
      <c r="Q988" s="4">
        <f t="shared" si="31"/>
        <v>-5074.418400000005</v>
      </c>
      <c r="R988" t="str">
        <f>IF( Table1[[#This Row],[Total Amount after sale]] &gt; 0,"PROFIT","LOSS")</f>
        <v>LOSS</v>
      </c>
      <c r="S988" s="3">
        <f>(Table1[[#This Row],[Total Amount after sale]]/Table1[[#This Row],[Price after discount]])</f>
        <v>-4.9561487518074925E-2</v>
      </c>
    </row>
    <row r="989" spans="1:19" x14ac:dyDescent="0.3">
      <c r="A989">
        <v>1049</v>
      </c>
      <c r="B989" s="1">
        <v>45289</v>
      </c>
      <c r="C989" s="1">
        <f>DATE(YEAR(Table1[[#This Row],[Sale_Date]]), MONTH(Table1[[#This Row],[Sale_Date]]), 1)</f>
        <v>45261</v>
      </c>
      <c r="D989" t="s">
        <v>33</v>
      </c>
      <c r="E989" t="s">
        <v>25</v>
      </c>
      <c r="F989" s="2">
        <v>4380.2299999999996</v>
      </c>
      <c r="G989">
        <v>38</v>
      </c>
      <c r="H989" t="s">
        <v>26</v>
      </c>
      <c r="I989" s="2">
        <v>2945.92</v>
      </c>
      <c r="J989" s="2">
        <v>3381.22</v>
      </c>
      <c r="K989" t="s">
        <v>17</v>
      </c>
      <c r="L989" s="5">
        <v>0.23</v>
      </c>
      <c r="M989" t="s">
        <v>18</v>
      </c>
      <c r="N989" t="s">
        <v>22</v>
      </c>
      <c r="O989" t="s">
        <v>44</v>
      </c>
      <c r="P989" s="4">
        <f t="shared" si="30"/>
        <v>98934.497199999998</v>
      </c>
      <c r="Q989" s="4">
        <f t="shared" si="31"/>
        <v>-13010.462799999998</v>
      </c>
      <c r="R989" t="str">
        <f>IF( Table1[[#This Row],[Total Amount after sale]] &gt; 0,"PROFIT","LOSS")</f>
        <v>LOSS</v>
      </c>
      <c r="S989" s="3">
        <f>(Table1[[#This Row],[Total Amount after sale]]/Table1[[#This Row],[Price after discount]])</f>
        <v>-0.13150582626097379</v>
      </c>
    </row>
    <row r="990" spans="1:19" x14ac:dyDescent="0.3">
      <c r="A990">
        <v>1003</v>
      </c>
      <c r="B990" s="1">
        <v>45290</v>
      </c>
      <c r="C990" s="1">
        <f>DATE(YEAR(Table1[[#This Row],[Sale_Date]]), MONTH(Table1[[#This Row],[Sale_Date]]), 1)</f>
        <v>45261</v>
      </c>
      <c r="D990" t="s">
        <v>42</v>
      </c>
      <c r="E990" t="s">
        <v>34</v>
      </c>
      <c r="F990" s="2">
        <v>640.88</v>
      </c>
      <c r="G990">
        <v>17</v>
      </c>
      <c r="H990" t="s">
        <v>16</v>
      </c>
      <c r="I990" s="2">
        <v>395.11</v>
      </c>
      <c r="J990" s="2">
        <v>676.66</v>
      </c>
      <c r="K990" t="s">
        <v>17</v>
      </c>
      <c r="L990" s="5">
        <v>0.25</v>
      </c>
      <c r="M990" t="s">
        <v>18</v>
      </c>
      <c r="N990" t="s">
        <v>22</v>
      </c>
      <c r="O990" t="s">
        <v>52</v>
      </c>
      <c r="P990" s="4">
        <f t="shared" si="30"/>
        <v>8627.4150000000009</v>
      </c>
      <c r="Q990" s="4">
        <f t="shared" si="31"/>
        <v>1910.5449999999998</v>
      </c>
      <c r="R990" t="str">
        <f>IF( Table1[[#This Row],[Total Amount after sale]] &gt; 0,"PROFIT","LOSS")</f>
        <v>PROFIT</v>
      </c>
      <c r="S990" s="3">
        <f>(Table1[[#This Row],[Total Amount after sale]]/Table1[[#This Row],[Price after discount]])</f>
        <v>0.2214504576399767</v>
      </c>
    </row>
    <row r="991" spans="1:19" x14ac:dyDescent="0.3">
      <c r="A991">
        <v>1099</v>
      </c>
      <c r="B991" s="1">
        <v>45290</v>
      </c>
      <c r="C991" s="1">
        <f>DATE(YEAR(Table1[[#This Row],[Sale_Date]]), MONTH(Table1[[#This Row],[Sale_Date]]), 1)</f>
        <v>45261</v>
      </c>
      <c r="D991" t="s">
        <v>14</v>
      </c>
      <c r="E991" t="s">
        <v>21</v>
      </c>
      <c r="F991" s="2">
        <v>9450.0400000000009</v>
      </c>
      <c r="G991">
        <v>29</v>
      </c>
      <c r="H991" t="s">
        <v>35</v>
      </c>
      <c r="I991" s="2">
        <v>3124.87</v>
      </c>
      <c r="J991" s="2">
        <v>3383.67</v>
      </c>
      <c r="K991" t="s">
        <v>30</v>
      </c>
      <c r="L991" s="5">
        <v>0.05</v>
      </c>
      <c r="M991" t="s">
        <v>31</v>
      </c>
      <c r="N991" t="s">
        <v>22</v>
      </c>
      <c r="O991" t="s">
        <v>23</v>
      </c>
      <c r="P991" s="4">
        <f t="shared" si="30"/>
        <v>93220.108500000002</v>
      </c>
      <c r="Q991" s="4">
        <f t="shared" si="31"/>
        <v>2598.8785000000025</v>
      </c>
      <c r="R991" t="str">
        <f>IF( Table1[[#This Row],[Total Amount after sale]] &gt; 0,"PROFIT","LOSS")</f>
        <v>PROFIT</v>
      </c>
      <c r="S991" s="3">
        <f>(Table1[[#This Row],[Total Amount after sale]]/Table1[[#This Row],[Price after discount]])</f>
        <v>2.7878947383975661E-2</v>
      </c>
    </row>
    <row r="992" spans="1:19" x14ac:dyDescent="0.3">
      <c r="A992">
        <v>1065</v>
      </c>
      <c r="B992" s="1">
        <v>45290</v>
      </c>
      <c r="C992" s="1">
        <f>DATE(YEAR(Table1[[#This Row],[Sale_Date]]), MONTH(Table1[[#This Row],[Sale_Date]]), 1)</f>
        <v>45261</v>
      </c>
      <c r="D992" t="s">
        <v>24</v>
      </c>
      <c r="E992" t="s">
        <v>25</v>
      </c>
      <c r="F992" s="2">
        <v>6801.71</v>
      </c>
      <c r="G992">
        <v>9</v>
      </c>
      <c r="H992" t="s">
        <v>29</v>
      </c>
      <c r="I992" s="2">
        <v>335.82</v>
      </c>
      <c r="J992" s="2">
        <v>498.31</v>
      </c>
      <c r="K992" t="s">
        <v>30</v>
      </c>
      <c r="L992" s="5">
        <v>0.26</v>
      </c>
      <c r="M992" t="s">
        <v>18</v>
      </c>
      <c r="N992" t="s">
        <v>22</v>
      </c>
      <c r="O992" t="s">
        <v>28</v>
      </c>
      <c r="P992" s="4">
        <f t="shared" si="30"/>
        <v>3318.7446</v>
      </c>
      <c r="Q992" s="4">
        <f t="shared" si="31"/>
        <v>296.36459999999988</v>
      </c>
      <c r="R992" t="str">
        <f>IF( Table1[[#This Row],[Total Amount after sale]] &gt; 0,"PROFIT","LOSS")</f>
        <v>PROFIT</v>
      </c>
      <c r="S992" s="3">
        <f>(Table1[[#This Row],[Total Amount after sale]]/Table1[[#This Row],[Price after discount]])</f>
        <v>8.9300213098651784E-2</v>
      </c>
    </row>
    <row r="993" spans="1:19" x14ac:dyDescent="0.3">
      <c r="A993">
        <v>1025</v>
      </c>
      <c r="B993" s="1">
        <v>45290</v>
      </c>
      <c r="C993" s="1">
        <f>DATE(YEAR(Table1[[#This Row],[Sale_Date]]), MONTH(Table1[[#This Row],[Sale_Date]]), 1)</f>
        <v>45261</v>
      </c>
      <c r="D993" t="s">
        <v>24</v>
      </c>
      <c r="E993" t="s">
        <v>21</v>
      </c>
      <c r="F993" s="2">
        <v>9215.32</v>
      </c>
      <c r="G993">
        <v>28</v>
      </c>
      <c r="H993" t="s">
        <v>35</v>
      </c>
      <c r="I993" s="2">
        <v>2097.84</v>
      </c>
      <c r="J993" s="2">
        <v>2270.9899999999998</v>
      </c>
      <c r="K993" t="s">
        <v>30</v>
      </c>
      <c r="L993" s="5">
        <v>0.13</v>
      </c>
      <c r="M993" t="s">
        <v>31</v>
      </c>
      <c r="N993" t="s">
        <v>22</v>
      </c>
      <c r="O993" t="s">
        <v>47</v>
      </c>
      <c r="P993" s="4">
        <f t="shared" si="30"/>
        <v>55321.316399999996</v>
      </c>
      <c r="Q993" s="4">
        <f t="shared" si="31"/>
        <v>-3418.2036000000071</v>
      </c>
      <c r="R993" t="str">
        <f>IF( Table1[[#This Row],[Total Amount after sale]] &gt; 0,"PROFIT","LOSS")</f>
        <v>LOSS</v>
      </c>
      <c r="S993" s="3">
        <f>(Table1[[#This Row],[Total Amount after sale]]/Table1[[#This Row],[Price after discount]])</f>
        <v>-6.1788182610925856E-2</v>
      </c>
    </row>
    <row r="994" spans="1:19" x14ac:dyDescent="0.3">
      <c r="A994">
        <v>1003</v>
      </c>
      <c r="B994" s="1">
        <v>45291</v>
      </c>
      <c r="C994" s="1">
        <f>DATE(YEAR(Table1[[#This Row],[Sale_Date]]), MONTH(Table1[[#This Row],[Sale_Date]]), 1)</f>
        <v>45261</v>
      </c>
      <c r="D994" t="s">
        <v>42</v>
      </c>
      <c r="E994" t="s">
        <v>25</v>
      </c>
      <c r="F994" s="2">
        <v>4775.59</v>
      </c>
      <c r="G994">
        <v>30</v>
      </c>
      <c r="H994" t="s">
        <v>16</v>
      </c>
      <c r="I994" s="2">
        <v>4190.28</v>
      </c>
      <c r="J994" s="2">
        <v>4270.6499999999996</v>
      </c>
      <c r="K994" t="s">
        <v>30</v>
      </c>
      <c r="L994" s="5">
        <v>0.2</v>
      </c>
      <c r="M994" t="s">
        <v>18</v>
      </c>
      <c r="N994" t="s">
        <v>19</v>
      </c>
      <c r="O994" t="s">
        <v>43</v>
      </c>
      <c r="P994" s="4">
        <f t="shared" si="30"/>
        <v>102495.6</v>
      </c>
      <c r="Q994" s="4">
        <f t="shared" si="31"/>
        <v>-23212.799999999992</v>
      </c>
      <c r="R994" t="str">
        <f>IF( Table1[[#This Row],[Total Amount after sale]] &gt; 0,"PROFIT","LOSS")</f>
        <v>LOSS</v>
      </c>
      <c r="S994" s="3">
        <f>(Table1[[#This Row],[Total Amount after sale]]/Table1[[#This Row],[Price after discount]])</f>
        <v>-0.22647606336271986</v>
      </c>
    </row>
    <row r="995" spans="1:19" x14ac:dyDescent="0.3">
      <c r="A995">
        <v>1086</v>
      </c>
      <c r="B995" s="1">
        <v>45291</v>
      </c>
      <c r="C995" s="1">
        <f>DATE(YEAR(Table1[[#This Row],[Sale_Date]]), MONTH(Table1[[#This Row],[Sale_Date]]), 1)</f>
        <v>45261</v>
      </c>
      <c r="D995" t="s">
        <v>42</v>
      </c>
      <c r="E995" t="s">
        <v>25</v>
      </c>
      <c r="F995" s="2">
        <v>9269.32</v>
      </c>
      <c r="G995">
        <v>33</v>
      </c>
      <c r="H995" t="s">
        <v>29</v>
      </c>
      <c r="I995" s="2">
        <v>3419.33</v>
      </c>
      <c r="J995" s="2">
        <v>3890.3599999999901</v>
      </c>
      <c r="K995" t="s">
        <v>17</v>
      </c>
      <c r="L995" s="5">
        <v>0.21</v>
      </c>
      <c r="M995" t="s">
        <v>18</v>
      </c>
      <c r="N995" t="s">
        <v>22</v>
      </c>
      <c r="O995" t="s">
        <v>43</v>
      </c>
      <c r="P995" s="4">
        <f t="shared" si="30"/>
        <v>101421.68519999975</v>
      </c>
      <c r="Q995" s="4">
        <f t="shared" si="31"/>
        <v>-11416.204800000256</v>
      </c>
      <c r="R995" t="str">
        <f>IF( Table1[[#This Row],[Total Amount after sale]] &gt; 0,"PROFIT","LOSS")</f>
        <v>LOSS</v>
      </c>
      <c r="S995" s="3">
        <f>(Table1[[#This Row],[Total Amount after sale]]/Table1[[#This Row],[Price after discount]])</f>
        <v>-0.11256177391933421</v>
      </c>
    </row>
    <row r="996" spans="1:19" x14ac:dyDescent="0.3">
      <c r="A996">
        <v>1058</v>
      </c>
      <c r="B996" s="1">
        <v>45291</v>
      </c>
      <c r="C996" s="1">
        <f>DATE(YEAR(Table1[[#This Row],[Sale_Date]]), MONTH(Table1[[#This Row],[Sale_Date]]), 1)</f>
        <v>45261</v>
      </c>
      <c r="D996" t="s">
        <v>42</v>
      </c>
      <c r="E996" t="s">
        <v>21</v>
      </c>
      <c r="F996" s="2">
        <v>4643.51</v>
      </c>
      <c r="G996">
        <v>44</v>
      </c>
      <c r="H996" t="s">
        <v>29</v>
      </c>
      <c r="I996" s="2">
        <v>1910.47</v>
      </c>
      <c r="J996" s="2">
        <v>2217.8000000000002</v>
      </c>
      <c r="K996" t="s">
        <v>30</v>
      </c>
      <c r="L996" s="5">
        <v>0.22</v>
      </c>
      <c r="M996" t="s">
        <v>27</v>
      </c>
      <c r="N996" t="s">
        <v>19</v>
      </c>
      <c r="O996" t="s">
        <v>51</v>
      </c>
      <c r="P996" s="4">
        <f t="shared" si="30"/>
        <v>76114.896000000008</v>
      </c>
      <c r="Q996" s="4">
        <f t="shared" si="31"/>
        <v>-7945.7839999999906</v>
      </c>
      <c r="R996" t="str">
        <f>IF( Table1[[#This Row],[Total Amount after sale]] &gt; 0,"PROFIT","LOSS")</f>
        <v>LOSS</v>
      </c>
      <c r="S996" s="3">
        <f>(Table1[[#This Row],[Total Amount after sale]]/Table1[[#This Row],[Price after discount]])</f>
        <v>-0.10439197079110493</v>
      </c>
    </row>
    <row r="997" spans="1:19" x14ac:dyDescent="0.3">
      <c r="A997">
        <v>1094</v>
      </c>
      <c r="B997" s="1">
        <v>45291</v>
      </c>
      <c r="C997" s="1">
        <f>DATE(YEAR(Table1[[#This Row],[Sale_Date]]), MONTH(Table1[[#This Row],[Sale_Date]]), 1)</f>
        <v>45261</v>
      </c>
      <c r="D997" t="s">
        <v>14</v>
      </c>
      <c r="E997" t="s">
        <v>25</v>
      </c>
      <c r="F997" s="2">
        <v>6586.22</v>
      </c>
      <c r="G997">
        <v>15</v>
      </c>
      <c r="H997" t="s">
        <v>26</v>
      </c>
      <c r="I997" s="2">
        <v>4111.93</v>
      </c>
      <c r="J997" s="2">
        <v>4338.67</v>
      </c>
      <c r="K997" t="s">
        <v>17</v>
      </c>
      <c r="L997" s="5">
        <v>0.26</v>
      </c>
      <c r="M997" t="s">
        <v>31</v>
      </c>
      <c r="N997" t="s">
        <v>19</v>
      </c>
      <c r="O997" t="s">
        <v>32</v>
      </c>
      <c r="P997" s="4">
        <f t="shared" si="30"/>
        <v>48159.237000000001</v>
      </c>
      <c r="Q997" s="4">
        <f t="shared" si="31"/>
        <v>-13519.713000000003</v>
      </c>
      <c r="R997" t="str">
        <f>IF( Table1[[#This Row],[Total Amount after sale]] &gt; 0,"PROFIT","LOSS")</f>
        <v>LOSS</v>
      </c>
      <c r="S997" s="3">
        <f>(Table1[[#This Row],[Total Amount after sale]]/Table1[[#This Row],[Price after discount]])</f>
        <v>-0.28072938530982133</v>
      </c>
    </row>
    <row r="998" spans="1:19" x14ac:dyDescent="0.3">
      <c r="A998">
        <v>1090</v>
      </c>
      <c r="B998" s="1">
        <v>45291</v>
      </c>
      <c r="C998" s="1">
        <f>DATE(YEAR(Table1[[#This Row],[Sale_Date]]), MONTH(Table1[[#This Row],[Sale_Date]]), 1)</f>
        <v>45261</v>
      </c>
      <c r="D998" t="s">
        <v>38</v>
      </c>
      <c r="E998" t="s">
        <v>21</v>
      </c>
      <c r="F998" s="2">
        <v>3333.73</v>
      </c>
      <c r="G998">
        <v>46</v>
      </c>
      <c r="H998" t="s">
        <v>29</v>
      </c>
      <c r="I998" s="2">
        <v>4665.12</v>
      </c>
      <c r="J998" s="2">
        <v>4675.8999999999996</v>
      </c>
      <c r="K998" t="s">
        <v>30</v>
      </c>
      <c r="L998" s="5">
        <v>0.19</v>
      </c>
      <c r="M998" t="s">
        <v>18</v>
      </c>
      <c r="N998" t="s">
        <v>22</v>
      </c>
      <c r="O998" t="s">
        <v>41</v>
      </c>
      <c r="P998" s="4">
        <f t="shared" si="30"/>
        <v>174224.03399999999</v>
      </c>
      <c r="Q998" s="4">
        <f t="shared" si="31"/>
        <v>-40371.486000000004</v>
      </c>
      <c r="R998" t="str">
        <f>IF( Table1[[#This Row],[Total Amount after sale]] &gt; 0,"PROFIT","LOSS")</f>
        <v>LOSS</v>
      </c>
      <c r="S998" s="3">
        <f>(Table1[[#This Row],[Total Amount after sale]]/Table1[[#This Row],[Price after discount]])</f>
        <v>-0.23172168083308189</v>
      </c>
    </row>
    <row r="999" spans="1:19" x14ac:dyDescent="0.3">
      <c r="A999">
        <v>1018</v>
      </c>
      <c r="B999" s="1">
        <v>45292</v>
      </c>
      <c r="C999" s="1">
        <f>DATE(YEAR(Table1[[#This Row],[Sale_Date]]), MONTH(Table1[[#This Row],[Sale_Date]]), 1)</f>
        <v>45292</v>
      </c>
      <c r="D999" t="s">
        <v>42</v>
      </c>
      <c r="E999" t="s">
        <v>21</v>
      </c>
      <c r="F999" s="2">
        <v>8579.7199999999993</v>
      </c>
      <c r="G999">
        <v>24</v>
      </c>
      <c r="H999" t="s">
        <v>35</v>
      </c>
      <c r="I999" s="2">
        <v>1362.78</v>
      </c>
      <c r="J999" s="2">
        <v>1729.81</v>
      </c>
      <c r="K999" t="s">
        <v>30</v>
      </c>
      <c r="L999" s="5">
        <v>0.28999999999999998</v>
      </c>
      <c r="M999" t="s">
        <v>27</v>
      </c>
      <c r="N999" t="s">
        <v>19</v>
      </c>
      <c r="O999" t="s">
        <v>51</v>
      </c>
      <c r="P999" s="4">
        <f t="shared" si="30"/>
        <v>29475.962399999997</v>
      </c>
      <c r="Q999" s="4">
        <f t="shared" si="31"/>
        <v>-3230.7576000000008</v>
      </c>
      <c r="R999" t="str">
        <f>IF( Table1[[#This Row],[Total Amount after sale]] &gt; 0,"PROFIT","LOSS")</f>
        <v>LOSS</v>
      </c>
      <c r="S999" s="3">
        <f>(Table1[[#This Row],[Total Amount after sale]]/Table1[[#This Row],[Price after discount]])</f>
        <v>-0.10960651788590968</v>
      </c>
    </row>
    <row r="1000" spans="1:19" x14ac:dyDescent="0.3">
      <c r="A1000">
        <v>1078</v>
      </c>
      <c r="B1000" s="1">
        <v>45292</v>
      </c>
      <c r="C1000" s="1">
        <f>DATE(YEAR(Table1[[#This Row],[Sale_Date]]), MONTH(Table1[[#This Row],[Sale_Date]]), 1)</f>
        <v>45292</v>
      </c>
      <c r="D1000" t="s">
        <v>24</v>
      </c>
      <c r="E1000" t="s">
        <v>34</v>
      </c>
      <c r="F1000" s="2">
        <v>8377.57</v>
      </c>
      <c r="G1000">
        <v>42</v>
      </c>
      <c r="H1000" t="s">
        <v>26</v>
      </c>
      <c r="I1000" s="2">
        <v>63.41</v>
      </c>
      <c r="J1000" s="2">
        <v>314.93</v>
      </c>
      <c r="K1000" t="s">
        <v>17</v>
      </c>
      <c r="L1000" s="5">
        <v>0.03</v>
      </c>
      <c r="M1000" t="s">
        <v>18</v>
      </c>
      <c r="N1000" t="s">
        <v>22</v>
      </c>
      <c r="O1000" t="s">
        <v>50</v>
      </c>
      <c r="P1000" s="4">
        <f t="shared" si="30"/>
        <v>12830.2482</v>
      </c>
      <c r="Q1000" s="4">
        <f t="shared" si="31"/>
        <v>10167.028200000001</v>
      </c>
      <c r="R1000" t="str">
        <f>IF( Table1[[#This Row],[Total Amount after sale]] &gt; 0,"PROFIT","LOSS")</f>
        <v>PROFIT</v>
      </c>
      <c r="S1000" s="3">
        <f>(Table1[[#This Row],[Total Amount after sale]]/Table1[[#This Row],[Price after discount]])</f>
        <v>0.79242646295805885</v>
      </c>
    </row>
    <row r="1001" spans="1:19" x14ac:dyDescent="0.3">
      <c r="A1001">
        <v>1098</v>
      </c>
      <c r="B1001" s="1">
        <v>45292</v>
      </c>
      <c r="C1001" s="1">
        <f>DATE(YEAR(Table1[[#This Row],[Sale_Date]]), MONTH(Table1[[#This Row],[Sale_Date]]), 1)</f>
        <v>45292</v>
      </c>
      <c r="D1001" t="s">
        <v>14</v>
      </c>
      <c r="E1001" t="s">
        <v>25</v>
      </c>
      <c r="F1001" s="2">
        <v>2370.7199999999998</v>
      </c>
      <c r="G1001">
        <v>11</v>
      </c>
      <c r="H1001" t="s">
        <v>29</v>
      </c>
      <c r="I1001" s="2">
        <v>213.41</v>
      </c>
      <c r="J1001" s="2">
        <v>503.36</v>
      </c>
      <c r="K1001" t="s">
        <v>17</v>
      </c>
      <c r="L1001" s="5">
        <v>0.27</v>
      </c>
      <c r="M1001" t="s">
        <v>27</v>
      </c>
      <c r="N1001" t="s">
        <v>19</v>
      </c>
      <c r="O1001" t="s">
        <v>32</v>
      </c>
      <c r="P1001" s="4">
        <f t="shared" si="30"/>
        <v>4041.9808000000003</v>
      </c>
      <c r="Q1001" s="4">
        <f t="shared" si="31"/>
        <v>1694.4708000000003</v>
      </c>
      <c r="R1001" t="str">
        <f>IF( Table1[[#This Row],[Total Amount after sale]] &gt; 0,"PROFIT","LOSS")</f>
        <v>PROFIT</v>
      </c>
      <c r="S1001" s="3">
        <f>(Table1[[#This Row],[Total Amount after sale]]/Table1[[#This Row],[Price after discount]])</f>
        <v>0.41921792404357788</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1062FE1B-E214-461B-B05B-DF65C9E15845}">
            <xm:f>NOT(ISERROR(SEARCH($R$977,R1)))</xm:f>
            <xm:f>$R$977</xm:f>
            <x14:dxf>
              <font>
                <color rgb="FF006100"/>
              </font>
              <fill>
                <patternFill>
                  <bgColor rgb="FFC6EFCE"/>
                </patternFill>
              </fill>
            </x14:dxf>
          </x14:cfRule>
          <x14:cfRule type="containsText" priority="2" operator="containsText" id="{6F4E85B5-E850-42D9-B8C8-6E84B6D6F6B9}">
            <xm:f>NOT(ISERROR(SEARCH($R$978,R1)))</xm:f>
            <xm:f>$R$978</xm:f>
            <x14:dxf>
              <font>
                <color rgb="FF9C0006"/>
              </font>
              <fill>
                <patternFill>
                  <bgColor rgb="FFFFC7CE"/>
                </patternFill>
              </fill>
            </x14:dxf>
          </x14:cfRule>
          <xm:sqref>R1:R1001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4D13-4400-49D3-A632-135D6248D7E8}">
  <sheetPr codeName="Sheet2"/>
  <dimension ref="A4:C20"/>
  <sheetViews>
    <sheetView topLeftCell="A4" zoomScale="71" workbookViewId="0">
      <selection activeCell="U19" sqref="U19"/>
    </sheetView>
  </sheetViews>
  <sheetFormatPr defaultRowHeight="14.4" x14ac:dyDescent="0.3"/>
  <cols>
    <col min="1" max="1" width="12.5546875" bestFit="1" customWidth="1"/>
    <col min="2" max="2" width="24" bestFit="1" customWidth="1"/>
    <col min="3" max="3" width="18.6640625" bestFit="1" customWidth="1"/>
    <col min="4" max="7" width="8.88671875" bestFit="1" customWidth="1"/>
    <col min="9" max="134" width="10.44140625" bestFit="1" customWidth="1"/>
    <col min="135" max="795" width="11.44140625" bestFit="1" customWidth="1"/>
    <col min="796" max="1001" width="13.109375" bestFit="1" customWidth="1"/>
    <col min="1002" max="1002" width="11.6640625" bestFit="1" customWidth="1"/>
    <col min="1003" max="1004" width="10.44140625" bestFit="1" customWidth="1"/>
    <col min="1005" max="1005" width="8.6640625" bestFit="1" customWidth="1"/>
    <col min="1006" max="1006" width="10.77734375" bestFit="1" customWidth="1"/>
  </cols>
  <sheetData>
    <row r="4" spans="1:3" x14ac:dyDescent="0.3">
      <c r="A4" s="6" t="s">
        <v>59</v>
      </c>
      <c r="B4" t="s">
        <v>60</v>
      </c>
      <c r="C4" t="s">
        <v>76</v>
      </c>
    </row>
    <row r="5" spans="1:3" x14ac:dyDescent="0.3">
      <c r="A5" s="8" t="s">
        <v>61</v>
      </c>
      <c r="B5" s="4">
        <v>59639825.092299983</v>
      </c>
      <c r="C5" s="4">
        <v>-4164551.0977000212</v>
      </c>
    </row>
    <row r="6" spans="1:3" x14ac:dyDescent="0.3">
      <c r="A6" s="7" t="s">
        <v>64</v>
      </c>
      <c r="B6" s="4">
        <v>6375602.7684999974</v>
      </c>
      <c r="C6" s="4">
        <v>-397015.69150000211</v>
      </c>
    </row>
    <row r="7" spans="1:3" x14ac:dyDescent="0.3">
      <c r="A7" s="7" t="s">
        <v>65</v>
      </c>
      <c r="B7" s="4">
        <v>4662249.4973999979</v>
      </c>
      <c r="C7" s="4">
        <v>-487174.87260000105</v>
      </c>
    </row>
    <row r="8" spans="1:3" x14ac:dyDescent="0.3">
      <c r="A8" s="7" t="s">
        <v>66</v>
      </c>
      <c r="B8" s="4">
        <v>5111669.9625999965</v>
      </c>
      <c r="C8" s="4">
        <v>-367957.63740000268</v>
      </c>
    </row>
    <row r="9" spans="1:3" x14ac:dyDescent="0.3">
      <c r="A9" s="7" t="s">
        <v>67</v>
      </c>
      <c r="B9" s="4">
        <v>4518199.6369999992</v>
      </c>
      <c r="C9" s="4">
        <v>-454291.16300000128</v>
      </c>
    </row>
    <row r="10" spans="1:3" x14ac:dyDescent="0.3">
      <c r="A10" s="7" t="s">
        <v>68</v>
      </c>
      <c r="B10" s="4">
        <v>4878261.7866999982</v>
      </c>
      <c r="C10" s="4">
        <v>-432892.57330000179</v>
      </c>
    </row>
    <row r="11" spans="1:3" x14ac:dyDescent="0.3">
      <c r="A11" s="7" t="s">
        <v>69</v>
      </c>
      <c r="B11" s="4">
        <v>5296111.9988999972</v>
      </c>
      <c r="C11" s="4">
        <v>-240457.03110000223</v>
      </c>
    </row>
    <row r="12" spans="1:3" x14ac:dyDescent="0.3">
      <c r="A12" s="7" t="s">
        <v>70</v>
      </c>
      <c r="B12" s="4">
        <v>4003580.3108000001</v>
      </c>
      <c r="C12" s="4">
        <v>-300173.34920000151</v>
      </c>
    </row>
    <row r="13" spans="1:3" x14ac:dyDescent="0.3">
      <c r="A13" s="7" t="s">
        <v>71</v>
      </c>
      <c r="B13" s="4">
        <v>5724989.7415000005</v>
      </c>
      <c r="C13" s="4">
        <v>-432783.17850000097</v>
      </c>
    </row>
    <row r="14" spans="1:3" x14ac:dyDescent="0.3">
      <c r="A14" s="7" t="s">
        <v>72</v>
      </c>
      <c r="B14" s="4">
        <v>3835193.0909999972</v>
      </c>
      <c r="C14" s="4">
        <v>-248881.96900000193</v>
      </c>
    </row>
    <row r="15" spans="1:3" x14ac:dyDescent="0.3">
      <c r="A15" s="7" t="s">
        <v>73</v>
      </c>
      <c r="B15" s="4">
        <v>5678169.6189999999</v>
      </c>
      <c r="C15" s="4">
        <v>-297756.94100000151</v>
      </c>
    </row>
    <row r="16" spans="1:3" x14ac:dyDescent="0.3">
      <c r="A16" s="7" t="s">
        <v>74</v>
      </c>
      <c r="B16" s="4">
        <v>4157584.6568999961</v>
      </c>
      <c r="C16" s="4">
        <v>-243533.47310000219</v>
      </c>
    </row>
    <row r="17" spans="1:3" x14ac:dyDescent="0.3">
      <c r="A17" s="7" t="s">
        <v>75</v>
      </c>
      <c r="B17" s="4">
        <v>5398212.0219999971</v>
      </c>
      <c r="C17" s="4">
        <v>-261633.21800000223</v>
      </c>
    </row>
    <row r="18" spans="1:3" x14ac:dyDescent="0.3">
      <c r="A18" s="8" t="s">
        <v>62</v>
      </c>
      <c r="B18" s="4">
        <v>46348.191399999996</v>
      </c>
      <c r="C18" s="4">
        <v>8630.7414000000008</v>
      </c>
    </row>
    <row r="19" spans="1:3" x14ac:dyDescent="0.3">
      <c r="A19" s="7" t="s">
        <v>64</v>
      </c>
      <c r="B19" s="4">
        <v>46348.191399999996</v>
      </c>
      <c r="C19" s="4">
        <v>8630.7414000000008</v>
      </c>
    </row>
    <row r="20" spans="1:3" x14ac:dyDescent="0.3">
      <c r="A20" s="8" t="s">
        <v>58</v>
      </c>
      <c r="B20" s="4">
        <v>59686173.283699982</v>
      </c>
      <c r="C20" s="4">
        <v>-4155920.3563000211</v>
      </c>
    </row>
  </sheetData>
  <sortState xmlns:xlrd2="http://schemas.microsoft.com/office/spreadsheetml/2017/richdata2" ref="A4:C18">
    <sortCondition descending="1" ref="A5" customList="Sunday,Monday,Tuesday,Wednesday,Thursday,Friday,Saturday"/>
  </sortState>
  <conditionalFormatting pivot="1" sqref="B5">
    <cfRule type="colorScale" priority="3">
      <colorScale>
        <cfvo type="formula" val="&quot;value &gt; 0 &quot;"/>
        <cfvo type="formula" val="&quot;value &lt; 0&quot;"/>
        <color theme="9" tint="-0.249977111117893"/>
        <color rgb="FFFF0000"/>
      </colorScale>
    </cfRule>
  </conditionalFormatting>
  <conditionalFormatting pivot="1" sqref="B5">
    <cfRule type="colorScale" priority="2">
      <colorScale>
        <cfvo type="formula" val="&quot;value &gt; 0 &quot;"/>
        <cfvo type="formula" val="&quot;value &lt; 0&quot;"/>
        <color theme="9" tint="-0.249977111117893"/>
        <color rgb="FFFF0000"/>
      </colorScale>
    </cfRule>
  </conditionalFormatting>
  <conditionalFormatting pivot="1" sqref="B5">
    <cfRule type="colorScale" priority="1">
      <colorScale>
        <cfvo type="formula" val="&quot;value &gt; 0 &quot;"/>
        <cfvo type="formula" val="&quot;value &lt; 0&quot;"/>
        <color theme="9" tint="-0.249977111117893"/>
        <color rgb="FFFF0000"/>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D3A3-3BFD-4309-91DE-7C60A4991266}">
  <sheetPr codeName="Sheet3"/>
  <dimension ref="A1:C6"/>
  <sheetViews>
    <sheetView zoomScale="93" workbookViewId="0">
      <selection activeCell="C1" sqref="C1"/>
    </sheetView>
  </sheetViews>
  <sheetFormatPr defaultRowHeight="14.4" x14ac:dyDescent="0.3"/>
  <cols>
    <col min="1" max="1" width="13" bestFit="1" customWidth="1"/>
    <col min="2" max="2" width="16.44140625" bestFit="1" customWidth="1"/>
    <col min="3" max="3" width="15.5546875" bestFit="1" customWidth="1"/>
    <col min="4" max="4" width="12.33203125" bestFit="1" customWidth="1"/>
  </cols>
  <sheetData>
    <row r="1" spans="1:3" x14ac:dyDescent="0.3">
      <c r="A1" s="6" t="s">
        <v>59</v>
      </c>
      <c r="B1" t="s">
        <v>77</v>
      </c>
      <c r="C1" t="s">
        <v>78</v>
      </c>
    </row>
    <row r="2" spans="1:3" x14ac:dyDescent="0.3">
      <c r="A2" s="8" t="s">
        <v>29</v>
      </c>
      <c r="B2" s="4">
        <v>16360844.624699989</v>
      </c>
      <c r="C2" s="4">
        <v>-1212931.5053000054</v>
      </c>
    </row>
    <row r="3" spans="1:3" x14ac:dyDescent="0.3">
      <c r="A3" s="8" t="s">
        <v>35</v>
      </c>
      <c r="B3" s="4">
        <v>15153225.285399994</v>
      </c>
      <c r="C3" s="4">
        <v>-843495.22460000473</v>
      </c>
    </row>
    <row r="4" spans="1:3" x14ac:dyDescent="0.3">
      <c r="A4" s="8" t="s">
        <v>26</v>
      </c>
      <c r="B4" s="4">
        <v>12808326.230799999</v>
      </c>
      <c r="C4" s="4">
        <v>-912451.3692000045</v>
      </c>
    </row>
    <row r="5" spans="1:3" x14ac:dyDescent="0.3">
      <c r="A5" s="8" t="s">
        <v>16</v>
      </c>
      <c r="B5" s="4">
        <v>15363777.142799998</v>
      </c>
      <c r="C5" s="4">
        <v>-1187042.2572000062</v>
      </c>
    </row>
    <row r="6" spans="1:3" x14ac:dyDescent="0.3">
      <c r="A6" s="8" t="s">
        <v>58</v>
      </c>
      <c r="B6" s="4">
        <v>59686173.283699982</v>
      </c>
      <c r="C6" s="4">
        <v>-4155920.3563000206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03F3D-3E9E-44A3-938E-77B58F74F88F}">
  <dimension ref="A4:B9"/>
  <sheetViews>
    <sheetView workbookViewId="0">
      <selection activeCell="B7" sqref="B7"/>
    </sheetView>
  </sheetViews>
  <sheetFormatPr defaultRowHeight="14.4" x14ac:dyDescent="0.3"/>
  <cols>
    <col min="1" max="1" width="12.5546875" bestFit="1" customWidth="1"/>
    <col min="2" max="2" width="24" bestFit="1" customWidth="1"/>
    <col min="3" max="4" width="12.33203125" bestFit="1" customWidth="1"/>
    <col min="5" max="6" width="14.109375" bestFit="1" customWidth="1"/>
  </cols>
  <sheetData>
    <row r="4" spans="1:2" x14ac:dyDescent="0.3">
      <c r="A4" s="6" t="s">
        <v>59</v>
      </c>
      <c r="B4" t="s">
        <v>60</v>
      </c>
    </row>
    <row r="5" spans="1:2" x14ac:dyDescent="0.3">
      <c r="A5" s="8" t="s">
        <v>34</v>
      </c>
      <c r="B5" s="4">
        <v>15202282.224599993</v>
      </c>
    </row>
    <row r="6" spans="1:2" x14ac:dyDescent="0.3">
      <c r="A6" s="8" t="s">
        <v>15</v>
      </c>
      <c r="B6" s="4">
        <v>15570342.181999993</v>
      </c>
    </row>
    <row r="7" spans="1:2" x14ac:dyDescent="0.3">
      <c r="A7" s="8" t="s">
        <v>25</v>
      </c>
      <c r="B7" s="4">
        <v>13894660.279499989</v>
      </c>
    </row>
    <row r="8" spans="1:2" x14ac:dyDescent="0.3">
      <c r="A8" s="8" t="s">
        <v>21</v>
      </c>
      <c r="B8" s="4">
        <v>15018888.597600002</v>
      </c>
    </row>
    <row r="9" spans="1:2" x14ac:dyDescent="0.3">
      <c r="A9" s="8" t="s">
        <v>58</v>
      </c>
      <c r="B9" s="4">
        <v>59686173.283699974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81DD-779F-4EA0-A310-7732E742B28C}">
  <dimension ref="A1:C6"/>
  <sheetViews>
    <sheetView tabSelected="1" zoomScale="80" workbookViewId="0">
      <selection activeCell="Q29" sqref="Q29"/>
    </sheetView>
  </sheetViews>
  <sheetFormatPr defaultRowHeight="14.4" x14ac:dyDescent="0.3"/>
  <cols>
    <col min="1" max="1" width="13.33203125" bestFit="1" customWidth="1"/>
    <col min="2" max="2" width="24.44140625" bestFit="1" customWidth="1"/>
    <col min="3" max="3" width="28" bestFit="1" customWidth="1"/>
    <col min="4" max="5" width="20.6640625" bestFit="1" customWidth="1"/>
  </cols>
  <sheetData>
    <row r="1" spans="1:3" x14ac:dyDescent="0.3">
      <c r="A1" s="6" t="s">
        <v>59</v>
      </c>
      <c r="B1" t="s">
        <v>60</v>
      </c>
      <c r="C1" t="s">
        <v>79</v>
      </c>
    </row>
    <row r="2" spans="1:3" x14ac:dyDescent="0.3">
      <c r="A2" s="8" t="s">
        <v>29</v>
      </c>
      <c r="B2" s="4">
        <v>16360844.624699989</v>
      </c>
      <c r="C2" s="4">
        <v>-1212931.5053000054</v>
      </c>
    </row>
    <row r="3" spans="1:3" x14ac:dyDescent="0.3">
      <c r="A3" s="8" t="s">
        <v>35</v>
      </c>
      <c r="B3" s="4">
        <v>15153225.285399994</v>
      </c>
      <c r="C3" s="4">
        <v>-843495.22460000473</v>
      </c>
    </row>
    <row r="4" spans="1:3" x14ac:dyDescent="0.3">
      <c r="A4" s="8" t="s">
        <v>26</v>
      </c>
      <c r="B4" s="4">
        <v>12808326.230799999</v>
      </c>
      <c r="C4" s="4">
        <v>-912451.3692000045</v>
      </c>
    </row>
    <row r="5" spans="1:3" x14ac:dyDescent="0.3">
      <c r="A5" s="8" t="s">
        <v>16</v>
      </c>
      <c r="B5" s="4">
        <v>15363777.142799998</v>
      </c>
      <c r="C5" s="4">
        <v>-1187042.2572000062</v>
      </c>
    </row>
    <row r="6" spans="1:3" x14ac:dyDescent="0.3">
      <c r="A6" s="8" t="s">
        <v>58</v>
      </c>
      <c r="B6" s="4">
        <v>59686173.283699982</v>
      </c>
      <c r="C6" s="4">
        <v>-4155920.3563000206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Monthly Sales &amp; Profit</vt:lpstr>
      <vt:lpstr>Product-wise Performance</vt:lpstr>
      <vt:lpstr>Region-wise Analysis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naveen nani</cp:lastModifiedBy>
  <dcterms:created xsi:type="dcterms:W3CDTF">2026-01-29T21:11:45Z</dcterms:created>
  <dcterms:modified xsi:type="dcterms:W3CDTF">2026-01-29T22:31:02Z</dcterms:modified>
</cp:coreProperties>
</file>